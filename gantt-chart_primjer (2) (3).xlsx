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codeName="ThisWorkbook"/>
  <mc:AlternateContent xmlns:mc="http://schemas.openxmlformats.org/markup-compatibility/2006">
    <mc:Choice Requires="x15">
      <x15ac:absPath xmlns:x15ac="http://schemas.microsoft.com/office/spreadsheetml/2010/11/ac" url="C:\Users\Gordan\Documents\p4be\Selectio\"/>
    </mc:Choice>
  </mc:AlternateContent>
  <xr:revisionPtr revIDLastSave="0" documentId="8_{F0B247DD-9E35-473D-9489-8C2F6C0E9902}" xr6:coauthVersionLast="47" xr6:coauthVersionMax="47" xr10:uidLastSave="{00000000-0000-0000-0000-000000000000}"/>
  <bookViews>
    <workbookView xWindow="-120" yWindow="-120" windowWidth="29040" windowHeight="16440" xr2:uid="{00000000-000D-0000-FFFF-FFFF00000000}"/>
  </bookViews>
  <sheets>
    <sheet name="GanttChart" sheetId="9" r:id="rId1"/>
    <sheet name="Help" sheetId="6" r:id="rId2"/>
    <sheet name="GanttChartPro" sheetId="12" r:id="rId3"/>
    <sheet name="TermsOfUse" sheetId="11" r:id="rId4"/>
  </sheets>
  <definedNames>
    <definedName name="_xlnm.Print_Titles" localSheetId="0">GanttChart!$4:$7</definedName>
    <definedName name="_xlnm.Print_Area" localSheetId="0">GanttChart!$A$1:$BN$40</definedName>
    <definedName name="_xlnm.Print_Area" localSheetId="2">GanttChartPro!$A$1:$C$47</definedName>
    <definedName name="prevWBS" localSheetId="0">GanttChart!$A1048576</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9" l="1"/>
  <c r="I52" i="9" s="1"/>
  <c r="F51" i="9"/>
  <c r="I51" i="9" s="1"/>
  <c r="F50" i="9"/>
  <c r="I50" i="9" s="1"/>
  <c r="A50" i="9"/>
  <c r="A51" i="9" s="1"/>
  <c r="A52" i="9" s="1"/>
  <c r="F48" i="9"/>
  <c r="I48" i="9"/>
  <c r="F47" i="9"/>
  <c r="I47" i="9" s="1"/>
  <c r="F46" i="9"/>
  <c r="I46" i="9" s="1"/>
  <c r="F41" i="9"/>
  <c r="F44" i="9"/>
  <c r="I44" i="9" s="1"/>
  <c r="F43" i="9"/>
  <c r="I43" i="9" s="1"/>
  <c r="F42" i="9"/>
  <c r="I42" i="9" s="1"/>
  <c r="I41" i="9"/>
  <c r="F35" i="9"/>
  <c r="F33" i="9"/>
  <c r="F27" i="9"/>
  <c r="F26" i="9"/>
  <c r="F23" i="9"/>
  <c r="F21" i="9"/>
  <c r="F20" i="9"/>
  <c r="F18" i="9"/>
  <c r="F17" i="9"/>
  <c r="F16" i="9"/>
  <c r="F14" i="9"/>
  <c r="F12" i="9"/>
  <c r="F11" i="9"/>
  <c r="F10" i="9"/>
  <c r="F9" i="9"/>
  <c r="F30" i="9"/>
  <c r="I30" i="9" s="1"/>
  <c r="F39" i="9"/>
  <c r="I39" i="9" s="1"/>
  <c r="F38" i="9"/>
  <c r="I38" i="9" s="1"/>
  <c r="F37" i="9"/>
  <c r="I37" i="9" s="1"/>
  <c r="F36" i="9"/>
  <c r="I36" i="9" s="1"/>
  <c r="I35" i="9"/>
  <c r="I33" i="9"/>
  <c r="F32" i="9"/>
  <c r="I32" i="9" s="1"/>
  <c r="F31" i="9"/>
  <c r="I31" i="9" s="1"/>
  <c r="I17" i="9"/>
  <c r="I18" i="9"/>
  <c r="F15" i="9" l="1"/>
  <c r="F22" i="9"/>
  <c r="F25" i="9"/>
  <c r="K6" i="9" l="1"/>
  <c r="K4" i="9" s="1"/>
  <c r="K7" i="9" l="1"/>
  <c r="A8" i="9"/>
  <c r="L6" i="9" l="1"/>
  <c r="I21" i="9" l="1"/>
  <c r="I20" i="9"/>
  <c r="I26" i="9"/>
  <c r="I14" i="9"/>
  <c r="I9" i="9"/>
  <c r="I25" i="9"/>
  <c r="M6" i="9"/>
  <c r="I15" i="9"/>
  <c r="I22" i="9" l="1"/>
  <c r="I16" i="9"/>
  <c r="N6" i="9"/>
  <c r="I27" i="9"/>
  <c r="F28" i="9"/>
  <c r="I28" i="9" l="1"/>
  <c r="I12" i="9"/>
  <c r="O6" i="9"/>
  <c r="K5" i="9"/>
  <c r="I23" i="9" l="1"/>
  <c r="I10" i="9"/>
  <c r="P6" i="9"/>
  <c r="L7" i="9"/>
  <c r="I11" i="9" l="1"/>
  <c r="Q6" i="9"/>
  <c r="M7" i="9"/>
  <c r="R6" i="9" l="1"/>
  <c r="R4" i="9" s="1"/>
  <c r="N7" i="9"/>
  <c r="S6" i="9" l="1"/>
  <c r="O7" i="9"/>
  <c r="T6" i="9" l="1"/>
  <c r="U6" i="9" s="1"/>
  <c r="P7" i="9"/>
  <c r="V6" i="9" l="1"/>
  <c r="U7" i="9"/>
  <c r="Q7" i="9"/>
  <c r="V7" i="9" l="1"/>
  <c r="W6" i="9"/>
  <c r="W7" i="9" s="1"/>
  <c r="R7" i="9"/>
  <c r="R5" i="9"/>
  <c r="S7" i="9" l="1"/>
  <c r="X6" i="9" l="1"/>
  <c r="T7" i="9"/>
  <c r="Y6" i="9" l="1"/>
  <c r="Y4" i="9" s="1"/>
  <c r="Z6" i="9" l="1"/>
  <c r="AA6" i="9" l="1"/>
  <c r="X7" i="9"/>
  <c r="AB6" i="9" l="1"/>
  <c r="Y5" i="9"/>
  <c r="Y7" i="9"/>
  <c r="AC6" i="9" l="1"/>
  <c r="Z7" i="9"/>
  <c r="AD6" i="9" l="1"/>
  <c r="AA7" i="9"/>
  <c r="AE6" i="9" l="1"/>
  <c r="AB7" i="9"/>
  <c r="AF6" i="9" l="1"/>
  <c r="AF4" i="9" s="1"/>
  <c r="AC7" i="9"/>
  <c r="AG6" i="9" l="1"/>
  <c r="AD7" i="9"/>
  <c r="AH6" i="9" l="1"/>
  <c r="AE7" i="9"/>
  <c r="AI6" i="9" l="1"/>
  <c r="AF7" i="9"/>
  <c r="AF5" i="9"/>
  <c r="AJ6" i="9" l="1"/>
  <c r="AG7" i="9"/>
  <c r="AK6" i="9" l="1"/>
  <c r="AH7" i="9"/>
  <c r="AL6" i="9" l="1"/>
  <c r="AI7" i="9"/>
  <c r="AM6" i="9" l="1"/>
  <c r="AM4" i="9" s="1"/>
  <c r="AJ7" i="9"/>
  <c r="AN6" i="9" l="1"/>
  <c r="AK7" i="9"/>
  <c r="AO6" i="9" l="1"/>
  <c r="AL7" i="9"/>
  <c r="AP6" i="9" l="1"/>
  <c r="AM7" i="9"/>
  <c r="AM5" i="9"/>
  <c r="AQ6" i="9" l="1"/>
  <c r="AN7" i="9"/>
  <c r="AR6" i="9" l="1"/>
  <c r="AO7" i="9"/>
  <c r="AS6" i="9" l="1"/>
  <c r="AP7" i="9"/>
  <c r="AT6" i="9" l="1"/>
  <c r="AT4" i="9" s="1"/>
  <c r="AQ7" i="9"/>
  <c r="AU6" i="9" l="1"/>
  <c r="AR7" i="9"/>
  <c r="AV6" i="9" l="1"/>
  <c r="AS7" i="9"/>
  <c r="AW6" i="9" l="1"/>
  <c r="AT7" i="9"/>
  <c r="AT5" i="9"/>
  <c r="AX6" i="9" l="1"/>
  <c r="AU7" i="9"/>
  <c r="AY6" i="9" l="1"/>
  <c r="AV7" i="9"/>
  <c r="AZ6" i="9" l="1"/>
  <c r="AW7" i="9"/>
  <c r="BA6" i="9" l="1"/>
  <c r="BA4" i="9" s="1"/>
  <c r="AX7" i="9"/>
  <c r="BB6" i="9" l="1"/>
  <c r="AY7" i="9"/>
  <c r="BC6" i="9" l="1"/>
  <c r="AZ7" i="9"/>
  <c r="BD6" i="9" l="1"/>
  <c r="BA5" i="9"/>
  <c r="BA7" i="9"/>
  <c r="BE6" i="9" l="1"/>
  <c r="BB7" i="9"/>
  <c r="BF6" i="9" l="1"/>
  <c r="BC7" i="9"/>
  <c r="BG6" i="9" l="1"/>
  <c r="BD7" i="9"/>
  <c r="BH6" i="9" l="1"/>
  <c r="BH4" i="9" s="1"/>
  <c r="BE7" i="9"/>
  <c r="BI6" i="9" l="1"/>
  <c r="BF7" i="9"/>
  <c r="BJ6" i="9" l="1"/>
  <c r="BG7" i="9"/>
  <c r="BK6" i="9" l="1"/>
  <c r="BH7" i="9"/>
  <c r="BH5" i="9"/>
  <c r="BL6" i="9" l="1"/>
  <c r="BI7" i="9"/>
  <c r="BM6" i="9" l="1"/>
  <c r="BJ7" i="9"/>
  <c r="BN6" i="9" l="1"/>
  <c r="BO6" i="9" s="1"/>
  <c r="BK7" i="9"/>
  <c r="BO5" i="9" l="1"/>
  <c r="BO7" i="9"/>
  <c r="BP6" i="9"/>
  <c r="BO4" i="9"/>
  <c r="BL7" i="9"/>
  <c r="BP7" i="9" l="1"/>
  <c r="BQ6" i="9"/>
  <c r="BM7" i="9"/>
  <c r="BQ7" i="9" l="1"/>
  <c r="BR6" i="9"/>
  <c r="BN7" i="9"/>
  <c r="BS6" i="9" l="1"/>
  <c r="BR7" i="9"/>
  <c r="A9" i="9"/>
  <c r="A10" i="9" s="1"/>
  <c r="A11" i="9" s="1"/>
  <c r="BT6" i="9" l="1"/>
  <c r="BS7" i="9"/>
  <c r="A12" i="9"/>
  <c r="BT7" i="9" l="1"/>
  <c r="BU6" i="9"/>
  <c r="BU7" i="9" s="1"/>
  <c r="A13" i="9"/>
  <c r="A14" i="9" s="1"/>
  <c r="A15" i="9" s="1"/>
  <c r="A16" i="9" s="1"/>
  <c r="A17" i="9" s="1"/>
  <c r="A18" i="9" s="1"/>
  <c r="A19" i="9" s="1"/>
  <c r="A20" i="9" s="1"/>
  <c r="A21" i="9" s="1"/>
  <c r="A22" i="9" s="1"/>
  <c r="A23" i="9" s="1"/>
  <c r="A24" i="9" l="1"/>
  <c r="A25" i="9" s="1"/>
  <c r="A26" i="9" l="1"/>
  <c r="A27" i="9" s="1"/>
  <c r="A28" i="9" s="1"/>
  <c r="A29" i="9" s="1"/>
  <c r="A30" i="9" s="1"/>
  <c r="A31" i="9" s="1"/>
  <c r="A32" i="9" s="1"/>
  <c r="A33" i="9" s="1"/>
  <c r="A34" i="9" l="1"/>
  <c r="A35" i="9" l="1"/>
  <c r="A36" i="9" l="1"/>
  <c r="A37" i="9" l="1"/>
  <c r="A38" i="9" l="1"/>
  <c r="A39" i="9" l="1"/>
  <c r="A40" i="9" s="1"/>
  <c r="A41" i="9" s="1"/>
  <c r="A42" i="9" s="1"/>
  <c r="A43" i="9" s="1"/>
  <c r="A44" i="9" s="1"/>
  <c r="A45" i="9" s="1"/>
  <c r="A46" i="9" s="1"/>
  <c r="A47" i="9" s="1"/>
  <c r="A4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<sst xmlns="http://schemas.openxmlformats.org/spreadsheetml/2006/main" count="257" uniqueCount="204">
  <si>
    <t>[Project Name] Project Schedule</t>
  </si>
  <si>
    <t>Gantt Chart Template © by Vertex42.com</t>
  </si>
  <si>
    <t>Learn about the Pro version &gt;</t>
  </si>
  <si>
    <t>[Company Name]</t>
  </si>
  <si>
    <t>Project Start Date</t>
  </si>
  <si>
    <t>Display Week</t>
  </si>
  <si>
    <t>Project Lead</t>
  </si>
  <si>
    <t>Pero Perić</t>
  </si>
  <si>
    <t>WBS</t>
  </si>
  <si>
    <t>TASK</t>
  </si>
  <si>
    <t>LEAD</t>
  </si>
  <si>
    <t>PREDECESSOR</t>
  </si>
  <si>
    <t>START</t>
  </si>
  <si>
    <t>END</t>
  </si>
  <si>
    <t>DAYS</t>
  </si>
  <si>
    <t>% DONE</t>
  </si>
  <si>
    <t>WORK DAYS</t>
  </si>
  <si>
    <t>Priprema i pokretanje projekta</t>
  </si>
  <si>
    <t>Formiranje projektnog tima</t>
  </si>
  <si>
    <t>Marija Marić</t>
  </si>
  <si>
    <t>-</t>
  </si>
  <si>
    <t>Uvid u lokaciju i terenske provjere</t>
  </si>
  <si>
    <t>Mario Marečić</t>
  </si>
  <si>
    <t>Definiranje točnih zahtjeva za spomenik</t>
  </si>
  <si>
    <t>Usuglašavanje budžeta i rokova</t>
  </si>
  <si>
    <t>Projektiranje i dokumentacija</t>
  </si>
  <si>
    <t>Kreiranje idejnog dizajna (skice + 3D model)</t>
  </si>
  <si>
    <t>Dario Križman</t>
  </si>
  <si>
    <t>Prezentacija i odobrenje idejnog rješenja</t>
  </si>
  <si>
    <t>2.1</t>
  </si>
  <si>
    <t>Izrada glavnog arhitektonsko-konstrukcijskog projekta</t>
  </si>
  <si>
    <t>2.2.</t>
  </si>
  <si>
    <t>Izrada troškovnika</t>
  </si>
  <si>
    <t>Dobivanje potrebnih dozvola</t>
  </si>
  <si>
    <t>Marko Matić</t>
  </si>
  <si>
    <t>2.3.</t>
  </si>
  <si>
    <t>Priprema lokacije</t>
  </si>
  <si>
    <t>Uklanjanje postojećih elemenata</t>
  </si>
  <si>
    <t>2.5.</t>
  </si>
  <si>
    <t>Ravnanje i priprema podloge</t>
  </si>
  <si>
    <t>3.1.</t>
  </si>
  <si>
    <t>Postavljanje privremene ograde</t>
  </si>
  <si>
    <t>Organiziranje pristupa i skladišta materijala</t>
  </si>
  <si>
    <t>Nabava i logistika</t>
  </si>
  <si>
    <t>Nabava građevinskog materijala</t>
  </si>
  <si>
    <t>3.4.</t>
  </si>
  <si>
    <t>Nabava materijala za spomenik</t>
  </si>
  <si>
    <t>Osiguravanje alata i strojeva</t>
  </si>
  <si>
    <t>Dogovor transporta</t>
  </si>
  <si>
    <t>4.3.</t>
  </si>
  <si>
    <t>Izgradnja temelja</t>
  </si>
  <si>
    <t>Iskop</t>
  </si>
  <si>
    <t>4.4.</t>
  </si>
  <si>
    <t>Postavljanje armature</t>
  </si>
  <si>
    <t>5.1.</t>
  </si>
  <si>
    <t>Betoniranje</t>
  </si>
  <si>
    <t>5.2.</t>
  </si>
  <si>
    <t>Sušenje i kontrola</t>
  </si>
  <si>
    <t>5.3.</t>
  </si>
  <si>
    <t>Izrada i postavljanje spomenika</t>
  </si>
  <si>
    <t>Izrada spomenika u radionici</t>
  </si>
  <si>
    <t>4.2.</t>
  </si>
  <si>
    <t>Završna obrada i pregled</t>
  </si>
  <si>
    <t>6.1.</t>
  </si>
  <si>
    <t>Transport spomenika</t>
  </si>
  <si>
    <t>6.2.</t>
  </si>
  <si>
    <t>Montaža na lokaciji</t>
  </si>
  <si>
    <t>6.3.</t>
  </si>
  <si>
    <t>Završno fiksiranje i liveliranje</t>
  </si>
  <si>
    <t>6.4.</t>
  </si>
  <si>
    <t>Uređenje okoliša</t>
  </si>
  <si>
    <t>Izrada pješačkih staza</t>
  </si>
  <si>
    <t>6.5.</t>
  </si>
  <si>
    <t>Postavljanje klupa i kanti za smeće</t>
  </si>
  <si>
    <t>Sadnja bilja i travnjaka</t>
  </si>
  <si>
    <t>Postavljanje rasvjete</t>
  </si>
  <si>
    <t>7.3.</t>
  </si>
  <si>
    <t>Inspekcije i sigurnosne provjere</t>
  </si>
  <si>
    <t>Tehnički pregled</t>
  </si>
  <si>
    <t>7.4.</t>
  </si>
  <si>
    <t>Sigurnosni pregled</t>
  </si>
  <si>
    <t>Otklanjanje manjih nedostataka</t>
  </si>
  <si>
    <t>8.1.</t>
  </si>
  <si>
    <t>Primopredaja i otvaranje</t>
  </si>
  <si>
    <t>Primopredaja gradu</t>
  </si>
  <si>
    <t>8.3.</t>
  </si>
  <si>
    <t>Priprema ceremonije otvaranja</t>
  </si>
  <si>
    <t>9.1.</t>
  </si>
  <si>
    <t>Svečano otvaranje</t>
  </si>
  <si>
    <t>9.2.</t>
  </si>
  <si>
    <t>Help</t>
  </si>
  <si>
    <t>https://www.vertex42.com/ExcelTemplates/excel-gantt-chart.html</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</si>
  <si>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</si>
  <si>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</si>
  <si>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</si>
  <si>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</si>
  <si>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</si>
  <si>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</si>
  <si>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</si>
  <si>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</si>
  <si>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</si>
  <si>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</si>
  <si>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For each task, enter the Start Date and the duration of the task in Days. The End Date and Work Days columns are calculated using formulas.</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</si>
  <si>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</si>
  <si>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</si>
  <si>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</si>
  <si>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</si>
  <si>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</si>
  <si>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</si>
  <si>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</si>
  <si>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</si>
  <si>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</si>
  <si>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</si>
  <si>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</si>
  <si>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</si>
  <si>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</si>
  <si>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</si>
  <si>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</si>
  <si>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</si>
  <si>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</si>
  <si>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</si>
  <si>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</si>
  <si>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</si>
  <si>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</si>
  <si>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</si>
  <si>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</si>
  <si>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</si>
  <si>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</si>
  <si>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</si>
  <si>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</si>
  <si>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</si>
  <si>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t>D.</t>
  </si>
  <si>
    <t>Set the Start date to the next Calendar Day after another task's End date.</t>
  </si>
  <si>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</si>
  <si>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</si>
  <si>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t>E.</t>
  </si>
  <si>
    <t>Set the Start date to a number of days before or after another date.</t>
  </si>
  <si>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</si>
  <si>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</si>
  <si>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</si>
  <si>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</si>
  <si>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</si>
  <si>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</si>
  <si>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</si>
  <si>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</si>
  <si>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</si>
  <si>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</si>
  <si>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</si>
  <si>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</si>
  <si>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</si>
  <si>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</si>
  <si>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</si>
  <si>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</si>
  <si>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</si>
  <si>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</si>
  <si>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</si>
  <si>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</si>
  <si>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</si>
  <si>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</si>
  <si>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</si>
  <si>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</si>
  <si>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</si>
  <si>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Find a row that works, then copy the cells that make up the gantt chart area from that row into the row that is messed up.</t>
  </si>
  <si>
    <t>© 2006-2018 Vertex42 LLC</t>
  </si>
  <si>
    <t>Gantt Chart Template Pro</t>
  </si>
  <si>
    <r>
      <t>Gantt Chart Template Pro</t>
    </r>
    <r>
      <rPr>
        <sz val="10"/>
        <rFont val="Arial"/>
        <family val="2"/>
      </rPr>
      <t xml:space="preserve"> is similar to this free version, but</t>
    </r>
  </si>
  <si>
    <t>it is more feature-packed. It also comes with other bonus content.</t>
  </si>
  <si>
    <t>Learn About Gantt Chart Template Pro</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</si>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</sst>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dddd\)"/>
    <numFmt numFmtId="165" formatCode="ddd\ m/dd/yy"/>
    <numFmt numFmtId="166" formatCode="d"/>
    <numFmt numFmtId="167" formatCode="d\ mmm\ yyyy"/>
    <numFmt numFmtId="168" formatCode="dd/mm/yyyy/\ \(ddd\)"/>
    <numFmt numFmtId="169" formatCode="ddd\ dd/mm/yy/"/>
  </numFmts>
  <fonts count="84">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sz val="8"/>
      <name val="Arial"/>
      <family val="1"/>
      <scheme val="minor"/>
    </font>
    <font>
      <b/>
      <sz val="11"/>
      <name val="Arial"/>
      <family val="1"/>
      <scheme val="minor"/>
    </font>
    <font>
      <sz val="9"/>
      <color rgb="FF000000"/>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b/>
      <sz val="11"/>
      <color theme="4" tint="-0.249977111117893"/>
      <name val="Arial"/>
      <family val="2"/>
    </font>
    <font>
      <sz val="11"/>
      <color rgb="FF000000"/>
      <name val="Arial"/>
      <family val="2"/>
    </font>
    <font>
      <i/>
      <sz val="11"/>
      <name val="Arial"/>
      <family val="2"/>
    </font>
    <font>
      <sz val="11"/>
      <color theme="4" tint="-0.249977111117893"/>
      <name val="Arial"/>
      <family val="2"/>
    </font>
    <font>
      <i/>
      <sz val="11"/>
      <color rgb="FF000000"/>
      <name val="Arial"/>
      <family val="2"/>
    </font>
    <font>
      <i/>
      <sz val="10"/>
      <color theme="0"/>
      <name val="Arial"/>
      <family val="2"/>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s>
  <cellStyleXfs count="44">
    <xf numFmtId="0" fontId="0" fillId="0" borderId="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2"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1" applyNumberFormat="0" applyAlignment="0" applyProtection="0"/>
    <xf numFmtId="0" fontId="11" fillId="18" borderId="2" applyNumberFormat="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2" fillId="0" borderId="0" applyNumberFormat="0" applyFill="0" applyBorder="0" applyAlignment="0" applyProtection="0">
      <alignment vertical="top"/>
      <protection locked="0"/>
    </xf>
    <xf numFmtId="0" fontId="17" fillId="11" borderId="1" applyNumberFormat="0" applyAlignment="0" applyProtection="0"/>
    <xf numFmtId="0" fontId="18" fillId="0" borderId="6" applyNumberFormat="0" applyFill="0" applyAlignment="0" applyProtection="0"/>
    <xf numFmtId="0" fontId="19" fillId="5" borderId="0" applyNumberFormat="0" applyBorder="0" applyAlignment="0" applyProtection="0"/>
    <xf numFmtId="0" fontId="5" fillId="5" borderId="7" applyNumberFormat="0" applyFont="0" applyAlignment="0" applyProtection="0"/>
    <xf numFmtId="0" fontId="20" fillId="17" borderId="8" applyNumberFormat="0" applyAlignment="0" applyProtection="0"/>
    <xf numFmtId="9" fontId="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88">
    <xf numFmtId="0" fontId="0" fillId="0" borderId="0" xfId="0"/>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2" xfId="0" applyFont="1" applyBorder="1"/>
    <xf numFmtId="0" fontId="0" fillId="0" borderId="12" xfId="0" applyBorder="1"/>
    <xf numFmtId="0" fontId="24" fillId="0" borderId="12" xfId="0" applyFont="1" applyBorder="1" applyAlignment="1">
      <alignment horizontal="left" wrapText="1"/>
    </xf>
    <xf numFmtId="0" fontId="4" fillId="0" borderId="12" xfId="0" applyFont="1" applyBorder="1" applyAlignment="1">
      <alignment horizontal="left" wrapText="1"/>
    </xf>
    <xf numFmtId="0" fontId="24" fillId="0" borderId="12" xfId="0" applyFont="1" applyBorder="1" applyAlignment="1">
      <alignment horizontal="left"/>
    </xf>
    <xf numFmtId="0" fontId="3" fillId="0" borderId="0" xfId="0" applyFont="1" applyAlignment="1">
      <alignment wrapText="1"/>
    </xf>
    <xf numFmtId="0" fontId="29" fillId="0" borderId="0" xfId="34" applyFont="1" applyAlignment="1" applyProtection="1"/>
    <xf numFmtId="0" fontId="30" fillId="0" borderId="0" xfId="0" applyFont="1"/>
    <xf numFmtId="0" fontId="31" fillId="0" borderId="0" xfId="0" applyFont="1"/>
    <xf numFmtId="0" fontId="28" fillId="0" borderId="0" xfId="0" applyFont="1"/>
    <xf numFmtId="0" fontId="3" fillId="0" borderId="0" xfId="0" applyFont="1" applyAlignment="1">
      <alignment horizontal="left" vertical="center"/>
    </xf>
    <xf numFmtId="0" fontId="27" fillId="0" borderId="0" xfId="0" applyFont="1" applyAlignment="1">
      <alignment vertical="center"/>
    </xf>
    <xf numFmtId="0" fontId="24" fillId="0" borderId="13" xfId="0" applyFont="1" applyBorder="1" applyAlignment="1">
      <alignment horizontal="left" wrapText="1"/>
    </xf>
    <xf numFmtId="0" fontId="25" fillId="0" borderId="12" xfId="34" applyFont="1" applyBorder="1" applyAlignment="1" applyProtection="1">
      <alignment horizontal="left" wrapText="1"/>
    </xf>
    <xf numFmtId="0" fontId="32" fillId="0" borderId="13" xfId="34" applyFont="1" applyBorder="1" applyAlignment="1" applyProtection="1">
      <alignment wrapText="1"/>
    </xf>
    <xf numFmtId="0" fontId="27" fillId="0" borderId="0" xfId="0" applyFont="1" applyAlignment="1">
      <alignment horizontal="left" vertical="center"/>
    </xf>
    <xf numFmtId="0" fontId="26" fillId="0" borderId="0" xfId="0" applyFont="1" applyAlignment="1">
      <alignment horizontal="left" vertical="center"/>
    </xf>
    <xf numFmtId="0" fontId="1" fillId="0" borderId="13" xfId="0" applyFont="1" applyBorder="1"/>
    <xf numFmtId="0" fontId="0" fillId="0" borderId="13" xfId="0" applyBorder="1"/>
    <xf numFmtId="0" fontId="24" fillId="0" borderId="0" xfId="0" applyFont="1" applyAlignment="1">
      <alignment horizontal="left" wrapText="1"/>
    </xf>
    <xf numFmtId="0" fontId="38" fillId="0" borderId="0" xfId="0" applyFont="1"/>
    <xf numFmtId="0" fontId="39" fillId="20" borderId="14" xfId="0" applyFont="1" applyFill="1" applyBorder="1" applyAlignment="1">
      <alignment vertical="center"/>
    </xf>
    <xf numFmtId="0" fontId="39" fillId="20" borderId="14" xfId="0" applyFont="1" applyFill="1" applyBorder="1" applyAlignment="1">
      <alignment horizontal="center" vertical="center"/>
    </xf>
    <xf numFmtId="165" fontId="39" fillId="20" borderId="14" xfId="0" applyNumberFormat="1" applyFont="1" applyFill="1" applyBorder="1" applyAlignment="1">
      <alignment horizontal="right" vertical="center"/>
    </xf>
    <xf numFmtId="1" fontId="39" fillId="20" borderId="14" xfId="40" applyNumberFormat="1" applyFont="1" applyFill="1" applyBorder="1" applyAlignment="1" applyProtection="1">
      <alignment horizontal="center" vertical="center"/>
    </xf>
    <xf numFmtId="9" fontId="39" fillId="20" borderId="14" xfId="40" applyFont="1" applyFill="1" applyBorder="1" applyAlignment="1" applyProtection="1">
      <alignment horizontal="center" vertical="center"/>
    </xf>
    <xf numFmtId="0" fontId="39" fillId="20" borderId="10" xfId="0" applyFont="1" applyFill="1" applyBorder="1" applyAlignment="1">
      <alignment vertical="center"/>
    </xf>
    <xf numFmtId="0" fontId="39" fillId="0" borderId="10" xfId="0" applyFont="1" applyBorder="1" applyAlignment="1">
      <alignment vertical="center"/>
    </xf>
    <xf numFmtId="0" fontId="39" fillId="0" borderId="10" xfId="0" applyFont="1" applyBorder="1" applyAlignment="1">
      <alignment horizontal="center" vertical="center"/>
    </xf>
    <xf numFmtId="0" fontId="39" fillId="20" borderId="10" xfId="0" applyFont="1" applyFill="1" applyBorder="1" applyAlignment="1">
      <alignment horizontal="center" vertical="center"/>
    </xf>
    <xf numFmtId="1" fontId="39" fillId="20" borderId="10" xfId="40" applyNumberFormat="1" applyFont="1" applyFill="1" applyBorder="1" applyAlignment="1" applyProtection="1">
      <alignment horizontal="center" vertical="center"/>
    </xf>
    <xf numFmtId="9" fontId="39" fillId="20" borderId="10" xfId="40" applyFont="1" applyFill="1" applyBorder="1" applyAlignment="1" applyProtection="1">
      <alignment horizontal="center" vertical="center"/>
    </xf>
    <xf numFmtId="0" fontId="39" fillId="0" borderId="0" xfId="0" applyFont="1" applyAlignment="1">
      <alignment vertical="center"/>
    </xf>
    <xf numFmtId="0" fontId="40" fillId="0" borderId="0" xfId="0" applyFont="1" applyAlignment="1">
      <alignment vertical="center"/>
    </xf>
    <xf numFmtId="0" fontId="38" fillId="0" borderId="0" xfId="0" applyFont="1" applyProtection="1">
      <protection locked="0"/>
    </xf>
    <xf numFmtId="0" fontId="45" fillId="24" borderId="0" xfId="0" applyFont="1" applyFill="1" applyAlignment="1" applyProtection="1">
      <alignment vertical="center"/>
      <protection locked="0"/>
    </xf>
    <xf numFmtId="0" fontId="46" fillId="24" borderId="0" xfId="0" applyFont="1" applyFill="1"/>
    <xf numFmtId="0" fontId="47" fillId="24" borderId="0" xfId="0" applyFont="1" applyFill="1" applyAlignment="1">
      <alignment vertical="center"/>
    </xf>
    <xf numFmtId="0" fontId="51" fillId="27" borderId="16" xfId="0" applyFont="1" applyFill="1" applyBorder="1" applyAlignment="1">
      <alignment horizontal="center" vertical="center" wrapText="1"/>
    </xf>
    <xf numFmtId="0" fontId="49" fillId="27" borderId="16" xfId="0" applyFont="1" applyFill="1" applyBorder="1" applyAlignment="1">
      <alignment horizontal="left" vertical="center"/>
    </xf>
    <xf numFmtId="0" fontId="49" fillId="27" borderId="16" xfId="0" applyFont="1" applyFill="1" applyBorder="1" applyAlignment="1">
      <alignment horizontal="center" vertical="center" wrapText="1"/>
    </xf>
    <xf numFmtId="0" fontId="49" fillId="27" borderId="16" xfId="0" applyFont="1" applyFill="1" applyBorder="1" applyAlignment="1">
      <alignment horizontal="center" vertical="center"/>
    </xf>
    <xf numFmtId="0" fontId="51" fillId="26" borderId="17" xfId="0" applyFont="1" applyFill="1" applyBorder="1" applyAlignment="1">
      <alignment horizontal="center" vertical="center" shrinkToFit="1"/>
    </xf>
    <xf numFmtId="0" fontId="51" fillId="26" borderId="16" xfId="0" applyFont="1" applyFill="1" applyBorder="1"/>
    <xf numFmtId="0" fontId="51" fillId="23" borderId="16" xfId="0" applyFont="1" applyFill="1" applyBorder="1"/>
    <xf numFmtId="0" fontId="53" fillId="23" borderId="0" xfId="0" applyFont="1" applyFill="1"/>
    <xf numFmtId="166" fontId="50" fillId="23" borderId="15" xfId="0" applyNumberFormat="1" applyFont="1" applyFill="1" applyBorder="1" applyAlignment="1">
      <alignment horizontal="center" vertical="center" shrinkToFit="1"/>
    </xf>
    <xf numFmtId="0" fontId="44" fillId="23" borderId="0" xfId="0" applyFont="1" applyFill="1" applyAlignment="1">
      <alignment vertical="center"/>
    </xf>
    <xf numFmtId="0" fontId="43" fillId="25" borderId="0" xfId="0" applyFont="1" applyFill="1" applyAlignment="1" applyProtection="1">
      <alignment vertical="center"/>
      <protection locked="0"/>
    </xf>
    <xf numFmtId="0" fontId="54" fillId="25" borderId="0" xfId="34" applyNumberFormat="1" applyFont="1" applyFill="1" applyBorder="1" applyAlignment="1" applyProtection="1">
      <alignment horizontal="right" vertical="center"/>
      <protection locked="0"/>
    </xf>
    <xf numFmtId="0" fontId="48" fillId="25" borderId="0" xfId="0" applyFont="1" applyFill="1" applyAlignment="1" applyProtection="1">
      <alignment vertical="center"/>
      <protection locked="0"/>
    </xf>
    <xf numFmtId="0" fontId="37" fillId="25" borderId="0" xfId="0" applyFont="1" applyFill="1" applyAlignment="1">
      <alignment vertical="center"/>
    </xf>
    <xf numFmtId="0" fontId="51" fillId="26" borderId="18" xfId="0" applyFont="1" applyFill="1" applyBorder="1" applyAlignment="1">
      <alignment horizontal="center" vertical="center" shrinkToFit="1"/>
    </xf>
    <xf numFmtId="0" fontId="51" fillId="26" borderId="19" xfId="0" applyFont="1" applyFill="1" applyBorder="1" applyAlignment="1">
      <alignment horizontal="center" vertical="center" shrinkToFit="1"/>
    </xf>
    <xf numFmtId="0" fontId="51" fillId="26" borderId="20" xfId="0" applyFont="1" applyFill="1" applyBorder="1" applyAlignment="1">
      <alignment horizontal="center" vertical="center" shrinkToFit="1"/>
    </xf>
    <xf numFmtId="0" fontId="51" fillId="26" borderId="21" xfId="0" applyFont="1" applyFill="1" applyBorder="1" applyAlignment="1">
      <alignment horizontal="center" vertical="center" shrinkToFit="1"/>
    </xf>
    <xf numFmtId="166" fontId="50" fillId="23" borderId="22" xfId="0" applyNumberFormat="1" applyFont="1" applyFill="1" applyBorder="1" applyAlignment="1">
      <alignment horizontal="center" vertical="center" shrinkToFit="1"/>
    </xf>
    <xf numFmtId="166" fontId="50" fillId="23" borderId="23" xfId="0" applyNumberFormat="1" applyFont="1" applyFill="1" applyBorder="1" applyAlignment="1">
      <alignment horizontal="center" vertical="center" shrinkToFit="1"/>
    </xf>
    <xf numFmtId="166" fontId="50" fillId="23" borderId="24" xfId="0" applyNumberFormat="1" applyFont="1" applyFill="1" applyBorder="1" applyAlignment="1">
      <alignment horizontal="center" vertical="center" shrinkToFit="1"/>
    </xf>
    <xf numFmtId="166" fontId="50" fillId="23" borderId="25" xfId="0" applyNumberFormat="1" applyFont="1" applyFill="1" applyBorder="1" applyAlignment="1">
      <alignment horizontal="center" vertical="center" shrinkToFit="1"/>
    </xf>
    <xf numFmtId="166" fontId="50" fillId="23" borderId="26" xfId="0" applyNumberFormat="1" applyFont="1" applyFill="1" applyBorder="1" applyAlignment="1">
      <alignment horizontal="center" vertical="center" shrinkToFit="1"/>
    </xf>
    <xf numFmtId="166" fontId="50" fillId="23" borderId="27" xfId="0" applyNumberFormat="1" applyFont="1" applyFill="1" applyBorder="1" applyAlignment="1">
      <alignment horizontal="center" vertical="center" shrinkToFit="1"/>
    </xf>
    <xf numFmtId="166" fontId="50" fillId="23" borderId="28" xfId="0" applyNumberFormat="1" applyFont="1" applyFill="1" applyBorder="1" applyAlignment="1">
      <alignment horizontal="center" vertical="center" shrinkToFit="1"/>
    </xf>
    <xf numFmtId="166" fontId="50" fillId="23" borderId="29" xfId="0" applyNumberFormat="1" applyFont="1" applyFill="1" applyBorder="1" applyAlignment="1">
      <alignment horizontal="center" vertical="center" shrinkToFit="1"/>
    </xf>
    <xf numFmtId="166" fontId="50" fillId="23" borderId="30" xfId="0" applyNumberFormat="1" applyFont="1" applyFill="1" applyBorder="1" applyAlignment="1">
      <alignment horizontal="center" vertical="center" shrinkToFit="1"/>
    </xf>
    <xf numFmtId="166" fontId="50" fillId="23" borderId="31" xfId="0" applyNumberFormat="1" applyFont="1" applyFill="1" applyBorder="1" applyAlignment="1">
      <alignment horizontal="center" vertical="center" shrinkToFit="1"/>
    </xf>
    <xf numFmtId="166" fontId="50" fillId="23" borderId="32" xfId="0" applyNumberFormat="1" applyFont="1" applyFill="1" applyBorder="1" applyAlignment="1">
      <alignment horizontal="center" vertical="center" shrinkToFit="1"/>
    </xf>
    <xf numFmtId="166" fontId="50" fillId="23" borderId="33" xfId="0" applyNumberFormat="1" applyFont="1" applyFill="1" applyBorder="1" applyAlignment="1">
      <alignment horizontal="center" vertical="center" shrinkToFit="1"/>
    </xf>
    <xf numFmtId="166" fontId="50" fillId="23" borderId="34" xfId="0" applyNumberFormat="1" applyFont="1" applyFill="1" applyBorder="1" applyAlignment="1">
      <alignment horizontal="center" vertical="center" shrinkToFit="1"/>
    </xf>
    <xf numFmtId="166" fontId="50" fillId="23" borderId="35" xfId="0" applyNumberFormat="1" applyFont="1" applyFill="1" applyBorder="1" applyAlignment="1">
      <alignment horizontal="center" vertical="center" shrinkToFit="1"/>
    </xf>
    <xf numFmtId="166" fontId="50" fillId="23" borderId="36" xfId="0" applyNumberFormat="1" applyFont="1" applyFill="1" applyBorder="1" applyAlignment="1">
      <alignment horizontal="center" vertical="center" shrinkToFit="1"/>
    </xf>
    <xf numFmtId="0" fontId="41" fillId="20" borderId="14" xfId="0" applyFont="1" applyFill="1" applyBorder="1" applyAlignment="1">
      <alignment horizontal="left" vertical="center" indent="1"/>
    </xf>
    <xf numFmtId="0" fontId="41" fillId="20" borderId="10" xfId="0" applyFont="1" applyFill="1" applyBorder="1" applyAlignment="1">
      <alignment horizontal="left" vertical="center" indent="1"/>
    </xf>
    <xf numFmtId="0" fontId="49" fillId="27" borderId="16" xfId="0" applyFont="1" applyFill="1" applyBorder="1" applyAlignment="1">
      <alignment horizontal="right" vertical="center" wrapText="1"/>
    </xf>
    <xf numFmtId="0" fontId="55" fillId="20" borderId="14" xfId="0" applyFont="1" applyFill="1" applyBorder="1" applyAlignment="1">
      <alignment horizontal="left" vertical="center"/>
    </xf>
    <xf numFmtId="0" fontId="56" fillId="21" borderId="10" xfId="0" applyFont="1" applyFill="1" applyBorder="1" applyAlignment="1">
      <alignment horizontal="left" vertical="center"/>
    </xf>
    <xf numFmtId="0" fontId="55" fillId="20" borderId="10" xfId="0" applyFont="1" applyFill="1" applyBorder="1" applyAlignment="1">
      <alignment horizontal="left" vertical="center"/>
    </xf>
    <xf numFmtId="1" fontId="60" fillId="20" borderId="14" xfId="0" applyNumberFormat="1" applyFont="1" applyFill="1" applyBorder="1" applyAlignment="1">
      <alignment horizontal="center" vertical="center"/>
    </xf>
    <xf numFmtId="1" fontId="61" fillId="21" borderId="11" xfId="0" applyNumberFormat="1" applyFont="1" applyFill="1" applyBorder="1" applyAlignment="1">
      <alignment horizontal="center" vertical="center"/>
    </xf>
    <xf numFmtId="1" fontId="60" fillId="20" borderId="10" xfId="0" applyNumberFormat="1" applyFont="1" applyFill="1" applyBorder="1" applyAlignment="1">
      <alignment horizontal="center" vertical="center"/>
    </xf>
    <xf numFmtId="0" fontId="62" fillId="23" borderId="0" xfId="0" applyFont="1" applyFill="1"/>
    <xf numFmtId="0" fontId="63" fillId="23" borderId="0" xfId="0" applyFont="1" applyFill="1" applyAlignment="1" applyProtection="1">
      <alignment vertical="center"/>
      <protection locked="0"/>
    </xf>
    <xf numFmtId="0" fontId="64" fillId="23" borderId="0" xfId="34" applyNumberFormat="1" applyFont="1" applyFill="1" applyBorder="1" applyAlignment="1" applyProtection="1">
      <alignment horizontal="right" vertical="center"/>
      <protection locked="0"/>
    </xf>
    <xf numFmtId="0" fontId="65" fillId="23" borderId="0" xfId="0" applyFont="1" applyFill="1" applyAlignment="1" applyProtection="1">
      <alignment vertical="center"/>
      <protection locked="0"/>
    </xf>
    <xf numFmtId="0" fontId="66" fillId="23" borderId="0" xfId="0" applyFont="1" applyFill="1" applyAlignment="1">
      <alignment vertical="center"/>
    </xf>
    <xf numFmtId="1" fontId="58" fillId="21" borderId="11" xfId="0" applyNumberFormat="1" applyFont="1" applyFill="1" applyBorder="1" applyAlignment="1">
      <alignment horizontal="right" vertical="center" indent="1"/>
    </xf>
    <xf numFmtId="1" fontId="58" fillId="20" borderId="10" xfId="0" applyNumberFormat="1" applyFont="1" applyFill="1" applyBorder="1" applyAlignment="1">
      <alignment horizontal="right" vertical="center" indent="1"/>
    </xf>
    <xf numFmtId="1" fontId="58" fillId="20" borderId="14" xfId="0" applyNumberFormat="1" applyFont="1" applyFill="1" applyBorder="1" applyAlignment="1">
      <alignment horizontal="center" vertical="center"/>
    </xf>
    <xf numFmtId="0" fontId="67" fillId="23" borderId="0" xfId="0" applyFont="1" applyFill="1"/>
    <xf numFmtId="0" fontId="68" fillId="23" borderId="0" xfId="0" applyFont="1" applyFill="1" applyAlignment="1">
      <alignment vertical="center"/>
    </xf>
    <xf numFmtId="0" fontId="70" fillId="25" borderId="0" xfId="0" applyFont="1" applyFill="1" applyAlignment="1" applyProtection="1">
      <alignment horizontal="left" vertical="center" indent="1"/>
      <protection locked="0"/>
    </xf>
    <xf numFmtId="0" fontId="69" fillId="23" borderId="0" xfId="0" applyFont="1" applyFill="1" applyAlignment="1">
      <alignment horizontal="right" vertical="center" indent="1"/>
    </xf>
    <xf numFmtId="0" fontId="69" fillId="22" borderId="37" xfId="0" applyFont="1" applyFill="1" applyBorder="1" applyAlignment="1" applyProtection="1">
      <alignment horizontal="center" vertical="center"/>
      <protection locked="0"/>
    </xf>
    <xf numFmtId="0" fontId="71" fillId="23" borderId="41" xfId="0" applyFont="1" applyFill="1" applyBorder="1" applyAlignment="1">
      <alignment vertical="center"/>
    </xf>
    <xf numFmtId="0" fontId="71" fillId="23" borderId="0" xfId="0" applyFont="1" applyFill="1" applyAlignment="1">
      <alignment vertical="center"/>
    </xf>
    <xf numFmtId="0" fontId="71" fillId="23" borderId="42" xfId="0" applyFont="1" applyFill="1" applyBorder="1" applyAlignment="1">
      <alignment vertical="center"/>
    </xf>
    <xf numFmtId="0" fontId="72" fillId="24" borderId="0" xfId="0" applyFont="1" applyFill="1" applyAlignment="1" applyProtection="1">
      <alignment horizontal="left" vertical="center" indent="1"/>
      <protection locked="0"/>
    </xf>
    <xf numFmtId="0" fontId="32" fillId="0" borderId="0" xfId="34" applyFont="1" applyAlignment="1" applyProtection="1"/>
    <xf numFmtId="0" fontId="73" fillId="0" borderId="0" xfId="0" applyFont="1"/>
    <xf numFmtId="0" fontId="74" fillId="0" borderId="0" xfId="0" applyFont="1" applyAlignment="1">
      <alignment horizontal="left" wrapText="1"/>
    </xf>
    <xf numFmtId="0" fontId="74" fillId="0" borderId="0" xfId="0" applyFont="1" applyAlignment="1">
      <alignment wrapText="1"/>
    </xf>
    <xf numFmtId="0" fontId="75" fillId="0" borderId="0" xfId="0" applyFont="1" applyAlignment="1">
      <alignment vertical="center"/>
    </xf>
    <xf numFmtId="0" fontId="74" fillId="0" borderId="0" xfId="0" applyFont="1" applyAlignment="1">
      <alignment vertical="center" wrapText="1"/>
    </xf>
    <xf numFmtId="0" fontId="1" fillId="0" borderId="0" xfId="0" applyFont="1" applyAlignment="1">
      <alignment vertical="center"/>
    </xf>
    <xf numFmtId="0" fontId="75" fillId="0" borderId="0" xfId="0" applyFont="1"/>
    <xf numFmtId="0" fontId="76" fillId="0" borderId="0" xfId="0" applyFont="1" applyAlignment="1">
      <alignment vertical="center" wrapText="1"/>
    </xf>
    <xf numFmtId="0" fontId="78" fillId="0" borderId="0" xfId="0" applyFont="1"/>
    <xf numFmtId="0" fontId="32" fillId="0" borderId="0" xfId="34" applyFont="1" applyFill="1" applyBorder="1" applyAlignment="1" applyProtection="1">
      <alignment vertical="center"/>
    </xf>
    <xf numFmtId="0" fontId="79" fillId="0" borderId="0" xfId="0" applyFont="1" applyAlignment="1">
      <alignment horizontal="right"/>
    </xf>
    <xf numFmtId="0" fontId="74" fillId="0" borderId="0" xfId="0" applyFont="1"/>
    <xf numFmtId="0" fontId="78" fillId="0" borderId="0" xfId="0" applyFont="1" applyAlignment="1">
      <alignment horizontal="right"/>
    </xf>
    <xf numFmtId="0" fontId="81" fillId="0" borderId="0" xfId="0" applyFont="1" applyAlignment="1">
      <alignment vertical="center" wrapText="1"/>
    </xf>
    <xf numFmtId="0" fontId="74" fillId="0" borderId="0" xfId="0" applyFont="1" applyAlignment="1">
      <alignment horizontal="left" vertical="center" wrapText="1"/>
    </xf>
    <xf numFmtId="0" fontId="74" fillId="0" borderId="0" xfId="0" applyFont="1" applyAlignment="1">
      <alignment horizontal="left" indent="1"/>
    </xf>
    <xf numFmtId="0" fontId="81" fillId="0" borderId="0" xfId="0" applyFont="1"/>
    <xf numFmtId="0" fontId="79" fillId="0" borderId="0" xfId="0" applyFont="1" applyAlignment="1">
      <alignment horizontal="left" wrapText="1"/>
    </xf>
    <xf numFmtId="0" fontId="31" fillId="0" borderId="0" xfId="0" quotePrefix="1" applyFont="1" applyAlignment="1">
      <alignment horizontal="left" indent="1"/>
    </xf>
    <xf numFmtId="0" fontId="74" fillId="0" borderId="0" xfId="0" quotePrefix="1" applyFont="1" applyAlignment="1">
      <alignment horizontal="left" wrapText="1" indent="1"/>
    </xf>
    <xf numFmtId="0" fontId="74" fillId="0" borderId="0" xfId="0" quotePrefix="1" applyFont="1" applyAlignment="1">
      <alignment wrapText="1"/>
    </xf>
    <xf numFmtId="0" fontId="46" fillId="24" borderId="0" xfId="0" applyFont="1" applyFill="1" applyAlignment="1">
      <alignment horizontal="center" vertical="center"/>
    </xf>
    <xf numFmtId="169" fontId="58" fillId="21" borderId="11" xfId="0" applyNumberFormat="1" applyFont="1" applyFill="1" applyBorder="1" applyAlignment="1">
      <alignment horizontal="center" vertical="center"/>
    </xf>
    <xf numFmtId="169" fontId="57" fillId="20" borderId="10" xfId="0" applyNumberFormat="1" applyFont="1" applyFill="1" applyBorder="1" applyAlignment="1">
      <alignment horizontal="right" vertical="center"/>
    </xf>
    <xf numFmtId="169" fontId="58" fillId="20" borderId="10" xfId="0" applyNumberFormat="1" applyFont="1" applyFill="1" applyBorder="1" applyAlignment="1">
      <alignment horizontal="right" vertical="center"/>
    </xf>
    <xf numFmtId="169" fontId="57" fillId="20" borderId="10" xfId="0" applyNumberFormat="1" applyFont="1" applyFill="1" applyBorder="1" applyAlignment="1">
      <alignment horizontal="center" vertical="center"/>
    </xf>
    <xf numFmtId="169" fontId="58" fillId="20" borderId="10" xfId="0" applyNumberFormat="1" applyFont="1" applyFill="1" applyBorder="1" applyAlignment="1">
      <alignment horizontal="center" vertical="center"/>
    </xf>
    <xf numFmtId="0" fontId="59" fillId="0" borderId="10" xfId="0" applyFont="1" applyBorder="1" applyAlignment="1" applyProtection="1">
      <alignment horizontal="left" vertical="center" wrapText="1" indent="1"/>
      <protection locked="0"/>
    </xf>
    <xf numFmtId="0" fontId="59" fillId="0" borderId="10" xfId="0" applyFont="1" applyBorder="1" applyAlignment="1" applyProtection="1">
      <alignment vertical="center"/>
      <protection locked="0"/>
    </xf>
    <xf numFmtId="0" fontId="59" fillId="0" borderId="11" xfId="0" applyFont="1" applyBorder="1" applyAlignment="1" applyProtection="1">
      <alignment horizontal="center" vertical="center"/>
      <protection locked="0"/>
    </xf>
    <xf numFmtId="169" fontId="59" fillId="0" borderId="11" xfId="0" applyNumberFormat="1" applyFont="1" applyBorder="1" applyAlignment="1" applyProtection="1">
      <alignment horizontal="center" vertical="center"/>
      <protection locked="0"/>
    </xf>
    <xf numFmtId="1" fontId="42" fillId="22" borderId="11" xfId="0" applyNumberFormat="1" applyFont="1" applyFill="1" applyBorder="1" applyAlignment="1" applyProtection="1">
      <alignment horizontal="center" vertical="center"/>
      <protection locked="0"/>
    </xf>
    <xf numFmtId="9" fontId="42" fillId="22" borderId="11" xfId="40" applyFont="1" applyFill="1" applyBorder="1" applyAlignment="1" applyProtection="1">
      <alignment horizontal="center" vertical="center"/>
      <protection locked="0"/>
    </xf>
    <xf numFmtId="0" fontId="39" fillId="0" borderId="10" xfId="0" applyFont="1" applyBorder="1" applyAlignment="1" applyProtection="1">
      <alignment vertical="center"/>
      <protection locked="0"/>
    </xf>
    <xf numFmtId="0" fontId="39" fillId="0" borderId="10" xfId="0" applyFont="1" applyBorder="1" applyAlignment="1" applyProtection="1">
      <alignment horizontal="left" vertical="center" wrapText="1" indent="1"/>
      <protection locked="0"/>
    </xf>
    <xf numFmtId="0" fontId="59" fillId="0" borderId="10" xfId="0" applyFont="1" applyBorder="1" applyAlignment="1" applyProtection="1">
      <alignment vertical="center" wrapText="1"/>
      <protection locked="0"/>
    </xf>
    <xf numFmtId="0" fontId="39" fillId="0" borderId="10" xfId="0" applyFont="1" applyBorder="1" applyAlignment="1" applyProtection="1">
      <alignment vertical="center" wrapText="1"/>
      <protection locked="0"/>
    </xf>
    <xf numFmtId="0" fontId="59" fillId="0" borderId="11" xfId="0" applyNumberFormat="1" applyFont="1" applyBorder="1" applyAlignment="1" applyProtection="1">
      <alignment horizontal="left" vertical="center" wrapText="1"/>
      <protection locked="0"/>
    </xf>
    <xf numFmtId="0" fontId="55" fillId="21" borderId="10" xfId="0" applyFont="1" applyFill="1" applyBorder="1" applyAlignment="1">
      <alignment horizontal="left" vertical="center"/>
    </xf>
    <xf numFmtId="0" fontId="83" fillId="24" borderId="0" xfId="34" applyFont="1" applyFill="1" applyAlignment="1" applyProtection="1">
      <alignment horizontal="left" vertical="center"/>
    </xf>
    <xf numFmtId="0" fontId="69" fillId="23" borderId="27" xfId="0" applyFont="1" applyFill="1" applyBorder="1" applyAlignment="1">
      <alignment horizontal="center" vertical="center"/>
    </xf>
    <xf numFmtId="0" fontId="69" fillId="23" borderId="15" xfId="0" applyFont="1" applyFill="1" applyBorder="1" applyAlignment="1">
      <alignment horizontal="center" vertical="center"/>
    </xf>
    <xf numFmtId="0" fontId="69" fillId="23" borderId="28" xfId="0" applyFont="1" applyFill="1" applyBorder="1" applyAlignment="1">
      <alignment horizontal="center" vertical="center"/>
    </xf>
    <xf numFmtId="167" fontId="52" fillId="23" borderId="27" xfId="0" applyNumberFormat="1" applyFont="1" applyFill="1" applyBorder="1" applyAlignment="1">
      <alignment horizontal="center" vertical="center"/>
    </xf>
    <xf numFmtId="167" fontId="52" fillId="23" borderId="15" xfId="0" applyNumberFormat="1" applyFont="1" applyFill="1" applyBorder="1" applyAlignment="1">
      <alignment horizontal="center" vertical="center"/>
    </xf>
    <xf numFmtId="167" fontId="52" fillId="23" borderId="28" xfId="0" applyNumberFormat="1" applyFont="1" applyFill="1" applyBorder="1" applyAlignment="1">
      <alignment horizontal="center" vertical="center"/>
    </xf>
    <xf numFmtId="0" fontId="69" fillId="23" borderId="22" xfId="0" applyFont="1" applyFill="1" applyBorder="1" applyAlignment="1">
      <alignment horizontal="center" vertical="center"/>
    </xf>
    <xf numFmtId="0" fontId="69" fillId="23" borderId="24" xfId="0" applyFont="1" applyFill="1" applyBorder="1" applyAlignment="1">
      <alignment horizontal="center" vertical="center"/>
    </xf>
    <xf numFmtId="164" fontId="69" fillId="22" borderId="38" xfId="0" applyNumberFormat="1" applyFont="1" applyFill="1" applyBorder="1" applyAlignment="1" applyProtection="1">
      <alignment horizontal="center" vertical="center" shrinkToFit="1"/>
      <protection locked="0"/>
    </xf>
    <xf numFmtId="164" fontId="69" fillId="22" borderId="39" xfId="0" applyNumberFormat="1" applyFont="1" applyFill="1" applyBorder="1" applyAlignment="1" applyProtection="1">
      <alignment horizontal="center" vertical="center" shrinkToFit="1"/>
      <protection locked="0"/>
    </xf>
    <xf numFmtId="164" fontId="69" fillId="22" borderId="40" xfId="0" applyNumberFormat="1" applyFont="1" applyFill="1" applyBorder="1" applyAlignment="1" applyProtection="1">
      <alignment horizontal="center" vertical="center" shrinkToFit="1"/>
      <protection locked="0"/>
    </xf>
    <xf numFmtId="0" fontId="69" fillId="23" borderId="23" xfId="0" applyFont="1" applyFill="1" applyBorder="1" applyAlignment="1">
      <alignment horizontal="center" vertical="center"/>
    </xf>
    <xf numFmtId="168" fontId="69" fillId="22" borderId="38" xfId="0" applyNumberFormat="1" applyFont="1" applyFill="1" applyBorder="1" applyAlignment="1" applyProtection="1">
      <alignment horizontal="center" vertical="center" shrinkToFit="1"/>
      <protection locked="0"/>
    </xf>
    <xf numFmtId="168" fontId="69" fillId="22" borderId="39" xfId="0" applyNumberFormat="1" applyFont="1" applyFill="1" applyBorder="1" applyAlignment="1" applyProtection="1">
      <alignment horizontal="center" vertical="center" shrinkToFit="1"/>
      <protection locked="0"/>
    </xf>
    <xf numFmtId="168" fontId="69" fillId="22" borderId="40" xfId="0" applyNumberFormat="1" applyFont="1" applyFill="1" applyBorder="1" applyAlignment="1" applyProtection="1">
      <alignment horizontal="center" vertical="center" shrinkToFit="1"/>
      <protection locked="0"/>
    </xf>
    <xf numFmtId="167" fontId="52" fillId="23" borderId="22" xfId="0" applyNumberFormat="1" applyFont="1" applyFill="1" applyBorder="1" applyAlignment="1">
      <alignment horizontal="center" vertical="center"/>
    </xf>
    <xf numFmtId="167" fontId="52" fillId="23" borderId="24" xfId="0" applyNumberFormat="1" applyFont="1" applyFill="1" applyBorder="1" applyAlignment="1">
      <alignment horizontal="center" vertical="center"/>
    </xf>
    <xf numFmtId="167" fontId="52" fillId="23" borderId="23" xfId="0" applyNumberFormat="1" applyFont="1" applyFill="1" applyBorder="1" applyAlignment="1">
      <alignment horizontal="center" vertical="center"/>
    </xf>
    <xf numFmtId="0" fontId="69" fillId="23" borderId="25" xfId="0" applyFont="1" applyFill="1" applyBorder="1" applyAlignment="1">
      <alignment horizontal="center" vertical="center"/>
    </xf>
    <xf numFmtId="0" fontId="69" fillId="23" borderId="26" xfId="0" applyFont="1" applyFill="1" applyBorder="1" applyAlignment="1">
      <alignment horizontal="center" vertical="center"/>
    </xf>
    <xf numFmtId="167" fontId="52" fillId="23" borderId="25" xfId="0" applyNumberFormat="1" applyFont="1" applyFill="1" applyBorder="1" applyAlignment="1">
      <alignment horizontal="center" vertical="center"/>
    </xf>
    <xf numFmtId="167" fontId="52" fillId="23" borderId="26" xfId="0" applyNumberFormat="1" applyFont="1" applyFill="1" applyBorder="1" applyAlignment="1">
      <alignment horizontal="center" vertical="center"/>
    </xf>
    <xf numFmtId="0" fontId="69" fillId="23" borderId="35" xfId="0" applyFont="1" applyFill="1" applyBorder="1" applyAlignment="1">
      <alignment horizontal="center" vertical="center"/>
    </xf>
    <xf numFmtId="0" fontId="69" fillId="23" borderId="36" xfId="0" applyFont="1" applyFill="1" applyBorder="1" applyAlignment="1">
      <alignment horizontal="center" vertical="center"/>
    </xf>
    <xf numFmtId="167" fontId="52" fillId="23" borderId="35" xfId="0" applyNumberFormat="1" applyFont="1" applyFill="1" applyBorder="1" applyAlignment="1">
      <alignment horizontal="center" vertical="center"/>
    </xf>
    <xf numFmtId="167" fontId="52" fillId="23" borderId="36" xfId="0" applyNumberFormat="1" applyFont="1" applyFill="1" applyBorder="1" applyAlignment="1">
      <alignment horizontal="center" vertical="center"/>
    </xf>
    <xf numFmtId="167" fontId="52" fillId="23" borderId="29" xfId="0" applyNumberFormat="1" applyFont="1" applyFill="1" applyBorder="1" applyAlignment="1">
      <alignment horizontal="center" vertical="center"/>
    </xf>
    <xf numFmtId="167" fontId="52" fillId="23" borderId="30" xfId="0" applyNumberFormat="1" applyFont="1" applyFill="1" applyBorder="1" applyAlignment="1">
      <alignment horizontal="center" vertical="center"/>
    </xf>
    <xf numFmtId="0" fontId="69" fillId="23" borderId="31" xfId="0" applyFont="1" applyFill="1" applyBorder="1" applyAlignment="1">
      <alignment horizontal="center" vertical="center"/>
    </xf>
    <xf numFmtId="0" fontId="69" fillId="23" borderId="32" xfId="0" applyFont="1" applyFill="1" applyBorder="1" applyAlignment="1">
      <alignment horizontal="center" vertical="center"/>
    </xf>
    <xf numFmtId="167" fontId="52" fillId="23" borderId="31" xfId="0" applyNumberFormat="1" applyFont="1" applyFill="1" applyBorder="1" applyAlignment="1">
      <alignment horizontal="center" vertical="center"/>
    </xf>
    <xf numFmtId="167" fontId="52" fillId="23" borderId="32" xfId="0" applyNumberFormat="1" applyFont="1" applyFill="1" applyBorder="1" applyAlignment="1">
      <alignment horizontal="center" vertical="center"/>
    </xf>
    <xf numFmtId="0" fontId="69" fillId="23" borderId="29" xfId="0" applyFont="1" applyFill="1" applyBorder="1" applyAlignment="1">
      <alignment horizontal="center" vertical="center"/>
    </xf>
    <xf numFmtId="0" fontId="69" fillId="23" borderId="30" xfId="0" applyFont="1" applyFill="1" applyBorder="1" applyAlignment="1">
      <alignment horizontal="center" vertical="center"/>
    </xf>
    <xf numFmtId="0" fontId="69" fillId="23" borderId="33" xfId="0" applyFont="1" applyFill="1" applyBorder="1" applyAlignment="1">
      <alignment horizontal="center" vertical="center"/>
    </xf>
    <xf numFmtId="0" fontId="69" fillId="23" borderId="34" xfId="0" applyFont="1" applyFill="1" applyBorder="1" applyAlignment="1">
      <alignment horizontal="center" vertical="center"/>
    </xf>
    <xf numFmtId="167" fontId="52" fillId="23" borderId="33" xfId="0" applyNumberFormat="1" applyFont="1" applyFill="1" applyBorder="1" applyAlignment="1">
      <alignment horizontal="center" vertical="center"/>
    </xf>
    <xf numFmtId="167" fontId="52" fillId="23" borderId="34" xfId="0" applyNumberFormat="1" applyFont="1" applyFill="1" applyBorder="1" applyAlignment="1">
      <alignment horizontal="center" vertical="center"/>
    </xf>
    <xf numFmtId="0" fontId="73" fillId="0" borderId="0" xfId="0" applyFont="1" applyAlignment="1">
      <alignment horizontal="left"/>
    </xf>
    <xf numFmtId="2" fontId="39" fillId="20" borderId="10" xfId="0" applyNumberFormat="1" applyFont="1" applyFill="1" applyBorder="1" applyAlignment="1">
      <alignment horizontal="center" vertical="center"/>
    </xf>
    <xf numFmtId="49" fontId="59" fillId="0" borderId="11" xfId="0" applyNumberFormat="1" applyFont="1" applyBorder="1" applyAlignment="1" applyProtection="1">
      <alignment horizontal="center" vertical="center"/>
      <protection locked="0"/>
    </xf>
    <xf numFmtId="49" fontId="59" fillId="0" borderId="11" xfId="0" applyNumberFormat="1" applyFont="1" applyBorder="1" applyAlignment="1" applyProtection="1">
      <alignment horizontal="center" vertical="center" wrapText="1"/>
      <protection locked="0"/>
    </xf>
    <xf numFmtId="49" fontId="42" fillId="0" borderId="11" xfId="0" applyNumberFormat="1" applyFont="1" applyBorder="1" applyAlignment="1" applyProtection="1">
      <alignment horizontal="center" vertical="center"/>
      <protection locked="0"/>
    </xf>
    <xf numFmtId="49" fontId="39" fillId="20" borderId="10" xfId="0" applyNumberFormat="1" applyFont="1" applyFill="1" applyBorder="1" applyAlignment="1">
      <alignment horizontal="center" vertical="center"/>
    </xf>
    <xf numFmtId="49" fontId="39" fillId="20" borderId="10" xfId="0" applyNumberFormat="1" applyFont="1" applyFill="1" applyBorder="1" applyAlignment="1">
      <alignment vertical="center"/>
    </xf>
  </cellXfs>
  <cellStyles count="44">
    <cellStyle name="20% - Isticanje1" xfId="1" builtinId="30" customBuiltin="1"/>
    <cellStyle name="20% - Isticanje2" xfId="2" builtinId="34" customBuiltin="1"/>
    <cellStyle name="20% - Isticanje3" xfId="3" builtinId="38" customBuiltin="1"/>
    <cellStyle name="20% - Isticanje4" xfId="4" builtinId="42" customBuiltin="1"/>
    <cellStyle name="20% - Isticanje5" xfId="5" builtinId="46" customBuiltin="1"/>
    <cellStyle name="20% - Isticanje6" xfId="6" builtinId="50" customBuiltin="1"/>
    <cellStyle name="40% - Isticanje1" xfId="7" builtinId="31" customBuiltin="1"/>
    <cellStyle name="40% - Isticanje2" xfId="8" builtinId="35" customBuiltin="1"/>
    <cellStyle name="40% - Isticanje3" xfId="9" builtinId="39" customBuiltin="1"/>
    <cellStyle name="40% - Isticanje4" xfId="10" builtinId="43" customBuiltin="1"/>
    <cellStyle name="40% - Isticanje5" xfId="11" builtinId="47" customBuiltin="1"/>
    <cellStyle name="40% - Isticanje6" xfId="12" builtinId="51" customBuiltin="1"/>
    <cellStyle name="60% - Isticanje1" xfId="13" builtinId="32" customBuiltin="1"/>
    <cellStyle name="60% - Isticanje2" xfId="14" builtinId="36" customBuiltin="1"/>
    <cellStyle name="60% - Isticanje3" xfId="15" builtinId="40" customBuiltin="1"/>
    <cellStyle name="60% - Isticanje4" xfId="16" builtinId="44" customBuiltin="1"/>
    <cellStyle name="60% - Isticanje5" xfId="17" builtinId="48" customBuiltin="1"/>
    <cellStyle name="60% - Isticanje6" xfId="18" builtinId="52" customBuiltin="1"/>
    <cellStyle name="Bilješka" xfId="38" builtinId="10" customBuiltin="1"/>
    <cellStyle name="Dobro" xfId="29" builtinId="26" customBuiltin="1"/>
    <cellStyle name="Hiperveza" xfId="34" builtinId="8"/>
    <cellStyle name="Isticanje1" xfId="19" builtinId="29" customBuiltin="1"/>
    <cellStyle name="Isticanje2" xfId="20" builtinId="33" customBuiltin="1"/>
    <cellStyle name="Isticanje3" xfId="21" builtinId="37" customBuiltin="1"/>
    <cellStyle name="Isticanje4" xfId="22" builtinId="41" customBuiltin="1"/>
    <cellStyle name="Isticanje5" xfId="23" builtinId="45" customBuiltin="1"/>
    <cellStyle name="Isticanje6" xfId="24" builtinId="49" customBuiltin="1"/>
    <cellStyle name="Izlaz" xfId="39" builtinId="21" customBuiltin="1"/>
    <cellStyle name="Izračun" xfId="26" builtinId="22" customBuiltin="1"/>
    <cellStyle name="Loše" xfId="25" builtinId="27" customBuiltin="1"/>
    <cellStyle name="Naslov" xfId="41" builtinId="15" customBuiltin="1"/>
    <cellStyle name="Naslov 1" xfId="30" builtinId="16" customBuiltin="1"/>
    <cellStyle name="Naslov 2" xfId="31" builtinId="17" customBuiltin="1"/>
    <cellStyle name="Naslov 3" xfId="32" builtinId="18" customBuiltin="1"/>
    <cellStyle name="Naslov 4" xfId="33" builtinId="19" customBuiltin="1"/>
    <cellStyle name="Neutralno" xfId="37" builtinId="28" customBuiltin="1"/>
    <cellStyle name="Normalno" xfId="0" builtinId="0"/>
    <cellStyle name="Postotak" xfId="40" builtinId="5"/>
    <cellStyle name="Povezana ćelija" xfId="36" builtinId="24" customBuiltin="1"/>
    <cellStyle name="Provjera ćelije" xfId="27" builtinId="23" customBuiltin="1"/>
    <cellStyle name="Tekst objašnjenja" xfId="28" builtinId="53" customBuiltin="1"/>
    <cellStyle name="Tekst upozorenja" xfId="43" builtinId="11" customBuiltin="1"/>
    <cellStyle name="Ukupni zbroj" xfId="42" builtinId="25" customBuiltin="1"/>
    <cellStyle name="Unos" xfId="35" builtinId="20" customBuiltin="1"/>
  </cellStyles>
  <dxfs count="11">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ont>
        <color theme="0"/>
      </font>
      <fill>
        <patternFill>
          <bgColor theme="9" tint="-0.24994659260841701"/>
        </patternFill>
      </fill>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I$4" horiz="1" max="100" min="1" page="0" val="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5</xdr:col>
      <xdr:colOff>175779</xdr:colOff>
      <xdr:row>5</xdr:row>
      <xdr:rowOff>104775</xdr:rowOff>
    </xdr:from>
    <xdr:to>
      <xdr:col>19</xdr:col>
      <xdr:colOff>6927</xdr:colOff>
      <xdr:row>9</xdr:row>
      <xdr:rowOff>123825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1758" y="1372014"/>
          <a:ext cx="3493190" cy="1111526"/>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9525</xdr:colOff>
          <xdr:row>1</xdr:row>
          <xdr:rowOff>38100</xdr:rowOff>
        </xdr:from>
        <xdr:to>
          <xdr:col>28</xdr:col>
          <xdr:colOff>95250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4648199</xdr:colOff>
      <xdr:row>0</xdr:row>
      <xdr:rowOff>0</xdr:rowOff>
    </xdr:from>
    <xdr:to>
      <xdr:col>1</xdr:col>
      <xdr:colOff>6029324</xdr:colOff>
      <xdr:row>0</xdr:row>
      <xdr:rowOff>310753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9674" y="0"/>
          <a:ext cx="1381125" cy="310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Links/go.php?urlid=GanttChartPro"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T53"/>
  <sheetViews>
    <sheetView showGridLines="0" tabSelected="1" zoomScale="110" zoomScaleNormal="110" workbookViewId="0">
      <pane ySplit="7" topLeftCell="A8" activePane="bottomLeft" state="frozen"/>
      <selection pane="bottomLeft" activeCell="D52" sqref="D52"/>
    </sheetView>
  </sheetViews>
  <sheetFormatPr defaultColWidth="9.140625" defaultRowHeight="12.75"/>
  <cols>
    <col min="1" max="1" width="5.85546875" style="25" customWidth="1"/>
    <col min="2" max="2" width="31.140625" style="25" customWidth="1"/>
    <col min="3" max="3" width="10" style="25" customWidth="1"/>
    <col min="4" max="4" width="12.7109375" style="25" customWidth="1"/>
    <col min="5" max="6" width="12" style="25" customWidth="1"/>
    <col min="7" max="7" width="6" style="25" customWidth="1"/>
    <col min="8" max="8" width="6.7109375" style="25" customWidth="1"/>
    <col min="9" max="9" width="5.85546875" style="25" customWidth="1"/>
    <col min="10" max="10" width="1.42578125" style="25" customWidth="1"/>
    <col min="11" max="73" width="2.42578125" style="25" customWidth="1"/>
    <col min="74" max="16384" width="9.140625" style="25"/>
  </cols>
  <sheetData>
    <row r="1" spans="1:150" s="41" customFormat="1" ht="33" customHeight="1">
      <c r="A1" s="101" t="s">
        <v>0</v>
      </c>
      <c r="B1" s="40"/>
      <c r="C1" s="40"/>
      <c r="D1" s="40"/>
      <c r="E1" s="40"/>
      <c r="F1" s="40"/>
      <c r="G1" s="124"/>
      <c r="K1" s="42" t="s">
        <v>1</v>
      </c>
      <c r="AD1" s="142" t="s">
        <v>2</v>
      </c>
      <c r="AE1" s="142"/>
      <c r="AF1" s="142"/>
      <c r="AG1" s="142"/>
      <c r="AH1" s="142"/>
      <c r="AI1" s="142"/>
      <c r="AJ1" s="142"/>
      <c r="AK1" s="142"/>
      <c r="AL1" s="142"/>
      <c r="AM1" s="142"/>
      <c r="AN1" s="142"/>
      <c r="AO1" s="142"/>
      <c r="AP1" s="142"/>
      <c r="AQ1" s="142"/>
      <c r="AR1" s="142"/>
    </row>
    <row r="2" spans="1:150" s="56" customFormat="1" ht="21" customHeight="1">
      <c r="A2" s="95" t="s">
        <v>3</v>
      </c>
      <c r="B2" s="53"/>
      <c r="C2" s="53"/>
      <c r="D2" s="54"/>
      <c r="E2" s="53"/>
      <c r="F2" s="55"/>
    </row>
    <row r="3" spans="1:150" s="89" customFormat="1" ht="6.75" customHeight="1" thickBot="1">
      <c r="A3" s="85"/>
      <c r="B3" s="86"/>
      <c r="C3" s="86"/>
      <c r="D3" s="87"/>
      <c r="E3" s="86"/>
      <c r="F3" s="88"/>
      <c r="K3" s="98"/>
      <c r="L3" s="99"/>
      <c r="M3" s="99"/>
      <c r="N3" s="99"/>
      <c r="O3" s="99"/>
      <c r="P3" s="99"/>
      <c r="Q3" s="100"/>
      <c r="R3" s="98"/>
      <c r="S3" s="99"/>
      <c r="T3" s="99"/>
      <c r="U3" s="99"/>
      <c r="V3" s="99"/>
      <c r="W3" s="99"/>
      <c r="X3" s="100"/>
      <c r="Y3" s="98"/>
      <c r="Z3" s="99"/>
      <c r="AA3" s="99"/>
      <c r="AB3" s="99"/>
      <c r="AC3" s="99"/>
      <c r="AD3" s="99"/>
      <c r="AE3" s="100"/>
      <c r="AF3" s="98"/>
      <c r="AG3" s="99"/>
      <c r="AH3" s="99"/>
      <c r="AI3" s="99"/>
      <c r="AJ3" s="99"/>
      <c r="AK3" s="99"/>
      <c r="AL3" s="100"/>
      <c r="AM3" s="98"/>
      <c r="AN3" s="99"/>
      <c r="AO3" s="99"/>
      <c r="AP3" s="99"/>
      <c r="AQ3" s="99"/>
      <c r="AR3" s="99"/>
      <c r="AS3" s="100"/>
      <c r="AT3" s="98"/>
      <c r="AU3" s="99"/>
      <c r="AV3" s="99"/>
      <c r="AW3" s="99"/>
      <c r="AX3" s="99"/>
      <c r="AY3" s="99"/>
      <c r="AZ3" s="100"/>
      <c r="BA3" s="98"/>
      <c r="BB3" s="99"/>
      <c r="BC3" s="99"/>
      <c r="BD3" s="99"/>
      <c r="BE3" s="99"/>
      <c r="BF3" s="99"/>
      <c r="BG3" s="100"/>
      <c r="BH3" s="98"/>
      <c r="BI3" s="99"/>
      <c r="BJ3" s="99"/>
      <c r="BK3" s="99"/>
      <c r="BL3" s="99"/>
      <c r="BM3" s="99"/>
      <c r="BN3" s="100"/>
      <c r="BO3" s="98"/>
      <c r="BP3" s="99"/>
      <c r="BQ3" s="99"/>
      <c r="BR3" s="99"/>
      <c r="BS3" s="99"/>
      <c r="BT3" s="99"/>
      <c r="BU3" s="100"/>
    </row>
    <row r="4" spans="1:150" s="93" customFormat="1" ht="19.5" customHeight="1" thickBot="1">
      <c r="B4" s="96" t="s">
        <v>4</v>
      </c>
      <c r="C4" s="155">
        <v>46054</v>
      </c>
      <c r="D4" s="156"/>
      <c r="E4" s="157"/>
      <c r="H4" s="96" t="s">
        <v>5</v>
      </c>
      <c r="I4" s="97">
        <v>8</v>
      </c>
      <c r="K4" s="149" t="str">
        <f>"Week "&amp;(K6-($C$4-WEEKDAY($C$4,1)+2))/7+1</f>
        <v>Week 8</v>
      </c>
      <c r="L4" s="144"/>
      <c r="M4" s="144"/>
      <c r="N4" s="144"/>
      <c r="O4" s="144"/>
      <c r="P4" s="144"/>
      <c r="Q4" s="154"/>
      <c r="R4" s="149" t="str">
        <f>"Week "&amp;(R6-($C$4-WEEKDAY($C$4,1)+2))/7+1</f>
        <v>Week 9</v>
      </c>
      <c r="S4" s="144"/>
      <c r="T4" s="144"/>
      <c r="U4" s="144"/>
      <c r="V4" s="144"/>
      <c r="W4" s="144"/>
      <c r="X4" s="150"/>
      <c r="Y4" s="161" t="str">
        <f>"Week "&amp;(Y6-($C$4-WEEKDAY($C$4,1)+2))/7+1</f>
        <v>Week 10</v>
      </c>
      <c r="Z4" s="144"/>
      <c r="AA4" s="144"/>
      <c r="AB4" s="144"/>
      <c r="AC4" s="144"/>
      <c r="AD4" s="144"/>
      <c r="AE4" s="162"/>
      <c r="AF4" s="143" t="str">
        <f>"Week "&amp;(AF6-($C$4-WEEKDAY($C$4,1)+2))/7+1</f>
        <v>Week 11</v>
      </c>
      <c r="AG4" s="144"/>
      <c r="AH4" s="144"/>
      <c r="AI4" s="144"/>
      <c r="AJ4" s="144"/>
      <c r="AK4" s="144"/>
      <c r="AL4" s="145"/>
      <c r="AM4" s="175" t="str">
        <f>"Week "&amp;(AM6-($C$4-WEEKDAY($C$4,1)+2))/7+1</f>
        <v>Week 12</v>
      </c>
      <c r="AN4" s="144"/>
      <c r="AO4" s="144"/>
      <c r="AP4" s="144"/>
      <c r="AQ4" s="144"/>
      <c r="AR4" s="144"/>
      <c r="AS4" s="176"/>
      <c r="AT4" s="171" t="str">
        <f>"Week "&amp;(AT6-($C$4-WEEKDAY($C$4,1)+2))/7+1</f>
        <v>Week 13</v>
      </c>
      <c r="AU4" s="144"/>
      <c r="AV4" s="144"/>
      <c r="AW4" s="144"/>
      <c r="AX4" s="144"/>
      <c r="AY4" s="144"/>
      <c r="AZ4" s="172"/>
      <c r="BA4" s="177" t="str">
        <f>"Week "&amp;(BA6-($C$4-WEEKDAY($C$4,1)+2))/7+1</f>
        <v>Week 14</v>
      </c>
      <c r="BB4" s="144"/>
      <c r="BC4" s="144"/>
      <c r="BD4" s="144"/>
      <c r="BE4" s="144"/>
      <c r="BF4" s="144"/>
      <c r="BG4" s="178"/>
      <c r="BH4" s="165" t="str">
        <f>"Week "&amp;(BH6-($C$4-WEEKDAY($C$4,1)+2))/7+1</f>
        <v>Week 15</v>
      </c>
      <c r="BI4" s="144"/>
      <c r="BJ4" s="144"/>
      <c r="BK4" s="144"/>
      <c r="BL4" s="144"/>
      <c r="BM4" s="144"/>
      <c r="BN4" s="166"/>
      <c r="BO4" s="165" t="str">
        <f>"Week "&amp;(BO6-($C$4-WEEKDAY($C$4,1)+2))/7+1</f>
        <v>Week 16</v>
      </c>
      <c r="BP4" s="144"/>
      <c r="BQ4" s="144"/>
      <c r="BR4" s="144"/>
      <c r="BS4" s="144"/>
      <c r="BT4" s="144"/>
      <c r="BU4" s="166"/>
    </row>
    <row r="5" spans="1:150" s="52" customFormat="1" ht="19.5" customHeight="1" thickBot="1">
      <c r="A5" s="94"/>
      <c r="B5" s="96" t="s">
        <v>6</v>
      </c>
      <c r="C5" s="151" t="s">
        <v>7</v>
      </c>
      <c r="D5" s="152"/>
      <c r="E5" s="153"/>
      <c r="F5" s="94"/>
      <c r="G5" s="94"/>
      <c r="H5" s="94"/>
      <c r="I5" s="94"/>
      <c r="K5" s="158">
        <f>K6</f>
        <v>46104</v>
      </c>
      <c r="L5" s="147"/>
      <c r="M5" s="147"/>
      <c r="N5" s="147"/>
      <c r="O5" s="147"/>
      <c r="P5" s="147"/>
      <c r="Q5" s="160"/>
      <c r="R5" s="158">
        <f>R6</f>
        <v>46111</v>
      </c>
      <c r="S5" s="147"/>
      <c r="T5" s="147"/>
      <c r="U5" s="147"/>
      <c r="V5" s="147"/>
      <c r="W5" s="147"/>
      <c r="X5" s="159"/>
      <c r="Y5" s="163">
        <f>Y6</f>
        <v>46118</v>
      </c>
      <c r="Z5" s="147"/>
      <c r="AA5" s="147"/>
      <c r="AB5" s="147"/>
      <c r="AC5" s="147"/>
      <c r="AD5" s="147"/>
      <c r="AE5" s="164"/>
      <c r="AF5" s="146">
        <f>AF6</f>
        <v>46125</v>
      </c>
      <c r="AG5" s="147"/>
      <c r="AH5" s="147"/>
      <c r="AI5" s="147"/>
      <c r="AJ5" s="147"/>
      <c r="AK5" s="147"/>
      <c r="AL5" s="148"/>
      <c r="AM5" s="169">
        <f>AM6</f>
        <v>46132</v>
      </c>
      <c r="AN5" s="147"/>
      <c r="AO5" s="147"/>
      <c r="AP5" s="147"/>
      <c r="AQ5" s="147"/>
      <c r="AR5" s="147"/>
      <c r="AS5" s="170"/>
      <c r="AT5" s="173">
        <f>AT6</f>
        <v>46139</v>
      </c>
      <c r="AU5" s="147"/>
      <c r="AV5" s="147"/>
      <c r="AW5" s="147"/>
      <c r="AX5" s="147"/>
      <c r="AY5" s="147"/>
      <c r="AZ5" s="174"/>
      <c r="BA5" s="179">
        <f>BA6</f>
        <v>46146</v>
      </c>
      <c r="BB5" s="147"/>
      <c r="BC5" s="147"/>
      <c r="BD5" s="147"/>
      <c r="BE5" s="147"/>
      <c r="BF5" s="147"/>
      <c r="BG5" s="180"/>
      <c r="BH5" s="167">
        <f>BH6</f>
        <v>46153</v>
      </c>
      <c r="BI5" s="147"/>
      <c r="BJ5" s="147"/>
      <c r="BK5" s="147"/>
      <c r="BL5" s="147"/>
      <c r="BM5" s="147"/>
      <c r="BN5" s="168"/>
      <c r="BO5" s="167">
        <f>BO6</f>
        <v>46160</v>
      </c>
      <c r="BP5" s="147"/>
      <c r="BQ5" s="147"/>
      <c r="BR5" s="147"/>
      <c r="BS5" s="147"/>
      <c r="BT5" s="147"/>
      <c r="BU5" s="168"/>
    </row>
    <row r="6" spans="1:150" s="50" customFormat="1" ht="14.25" customHeight="1">
      <c r="K6" s="61">
        <f>C4-WEEKDAY(C4,1)+2+7*(I4-1)</f>
        <v>46104</v>
      </c>
      <c r="L6" s="51">
        <f t="shared" ref="L6:AQ6" si="0">K6+1</f>
        <v>46105</v>
      </c>
      <c r="M6" s="51">
        <f t="shared" si="0"/>
        <v>46106</v>
      </c>
      <c r="N6" s="51">
        <f t="shared" si="0"/>
        <v>46107</v>
      </c>
      <c r="O6" s="51">
        <f t="shared" si="0"/>
        <v>46108</v>
      </c>
      <c r="P6" s="51">
        <f t="shared" si="0"/>
        <v>46109</v>
      </c>
      <c r="Q6" s="62">
        <f t="shared" si="0"/>
        <v>46110</v>
      </c>
      <c r="R6" s="61">
        <f t="shared" si="0"/>
        <v>46111</v>
      </c>
      <c r="S6" s="51">
        <f t="shared" si="0"/>
        <v>46112</v>
      </c>
      <c r="T6" s="51">
        <f t="shared" si="0"/>
        <v>46113</v>
      </c>
      <c r="U6" s="51">
        <f t="shared" ref="U6" si="1">T6+1</f>
        <v>46114</v>
      </c>
      <c r="V6" s="51">
        <f t="shared" ref="V6" si="2">U6+1</f>
        <v>46115</v>
      </c>
      <c r="W6" s="51">
        <f t="shared" ref="W6" si="3">V6+1</f>
        <v>46116</v>
      </c>
      <c r="X6" s="63">
        <f t="shared" si="0"/>
        <v>46117</v>
      </c>
      <c r="Y6" s="64">
        <f t="shared" si="0"/>
        <v>46118</v>
      </c>
      <c r="Z6" s="51">
        <f t="shared" si="0"/>
        <v>46119</v>
      </c>
      <c r="AA6" s="51">
        <f t="shared" si="0"/>
        <v>46120</v>
      </c>
      <c r="AB6" s="51">
        <f t="shared" si="0"/>
        <v>46121</v>
      </c>
      <c r="AC6" s="51">
        <f t="shared" si="0"/>
        <v>46122</v>
      </c>
      <c r="AD6" s="51">
        <f t="shared" si="0"/>
        <v>46123</v>
      </c>
      <c r="AE6" s="65">
        <f t="shared" si="0"/>
        <v>46124</v>
      </c>
      <c r="AF6" s="66">
        <f t="shared" si="0"/>
        <v>46125</v>
      </c>
      <c r="AG6" s="51">
        <f t="shared" si="0"/>
        <v>46126</v>
      </c>
      <c r="AH6" s="51">
        <f t="shared" si="0"/>
        <v>46127</v>
      </c>
      <c r="AI6" s="51">
        <f t="shared" si="0"/>
        <v>46128</v>
      </c>
      <c r="AJ6" s="51">
        <f t="shared" si="0"/>
        <v>46129</v>
      </c>
      <c r="AK6" s="51">
        <f t="shared" si="0"/>
        <v>46130</v>
      </c>
      <c r="AL6" s="67">
        <f t="shared" si="0"/>
        <v>46131</v>
      </c>
      <c r="AM6" s="68">
        <f t="shared" si="0"/>
        <v>46132</v>
      </c>
      <c r="AN6" s="51">
        <f t="shared" si="0"/>
        <v>46133</v>
      </c>
      <c r="AO6" s="51">
        <f t="shared" si="0"/>
        <v>46134</v>
      </c>
      <c r="AP6" s="51">
        <f t="shared" si="0"/>
        <v>46135</v>
      </c>
      <c r="AQ6" s="51">
        <f t="shared" si="0"/>
        <v>46136</v>
      </c>
      <c r="AR6" s="51">
        <f t="shared" ref="AR6:BN6" si="4">AQ6+1</f>
        <v>46137</v>
      </c>
      <c r="AS6" s="69">
        <f t="shared" si="4"/>
        <v>46138</v>
      </c>
      <c r="AT6" s="70">
        <f t="shared" si="4"/>
        <v>46139</v>
      </c>
      <c r="AU6" s="51">
        <f t="shared" si="4"/>
        <v>46140</v>
      </c>
      <c r="AV6" s="51">
        <f t="shared" si="4"/>
        <v>46141</v>
      </c>
      <c r="AW6" s="51">
        <f t="shared" si="4"/>
        <v>46142</v>
      </c>
      <c r="AX6" s="51">
        <f t="shared" si="4"/>
        <v>46143</v>
      </c>
      <c r="AY6" s="51">
        <f t="shared" si="4"/>
        <v>46144</v>
      </c>
      <c r="AZ6" s="71">
        <f t="shared" si="4"/>
        <v>46145</v>
      </c>
      <c r="BA6" s="72">
        <f t="shared" si="4"/>
        <v>46146</v>
      </c>
      <c r="BB6" s="51">
        <f t="shared" si="4"/>
        <v>46147</v>
      </c>
      <c r="BC6" s="51">
        <f t="shared" si="4"/>
        <v>46148</v>
      </c>
      <c r="BD6" s="51">
        <f t="shared" si="4"/>
        <v>46149</v>
      </c>
      <c r="BE6" s="51">
        <f t="shared" si="4"/>
        <v>46150</v>
      </c>
      <c r="BF6" s="51">
        <f t="shared" si="4"/>
        <v>46151</v>
      </c>
      <c r="BG6" s="73">
        <f t="shared" si="4"/>
        <v>46152</v>
      </c>
      <c r="BH6" s="74">
        <f t="shared" si="4"/>
        <v>46153</v>
      </c>
      <c r="BI6" s="51">
        <f t="shared" si="4"/>
        <v>46154</v>
      </c>
      <c r="BJ6" s="51">
        <f t="shared" si="4"/>
        <v>46155</v>
      </c>
      <c r="BK6" s="51">
        <f t="shared" si="4"/>
        <v>46156</v>
      </c>
      <c r="BL6" s="51">
        <f t="shared" si="4"/>
        <v>46157</v>
      </c>
      <c r="BM6" s="51">
        <f t="shared" si="4"/>
        <v>46158</v>
      </c>
      <c r="BN6" s="75">
        <f t="shared" si="4"/>
        <v>46159</v>
      </c>
      <c r="BO6" s="74">
        <f t="shared" ref="BO6" si="5">BN6+1</f>
        <v>46160</v>
      </c>
      <c r="BP6" s="51">
        <f t="shared" ref="BP6" si="6">BO6+1</f>
        <v>46161</v>
      </c>
      <c r="BQ6" s="51">
        <f t="shared" ref="BQ6" si="7">BP6+1</f>
        <v>46162</v>
      </c>
      <c r="BR6" s="51">
        <f t="shared" ref="BR6" si="8">BQ6+1</f>
        <v>46163</v>
      </c>
      <c r="BS6" s="51">
        <f t="shared" ref="BS6" si="9">BR6+1</f>
        <v>46164</v>
      </c>
      <c r="BT6" s="51">
        <f t="shared" ref="BT6" si="10">BS6+1</f>
        <v>46165</v>
      </c>
      <c r="BU6" s="75">
        <f t="shared" ref="BU6" si="11">BT6+1</f>
        <v>46166</v>
      </c>
    </row>
    <row r="7" spans="1:150" s="49" customFormat="1" ht="30" customHeight="1">
      <c r="A7" s="44" t="s">
        <v>8</v>
      </c>
      <c r="B7" s="44" t="s">
        <v>9</v>
      </c>
      <c r="C7" s="45" t="s">
        <v>10</v>
      </c>
      <c r="D7" s="45" t="s">
        <v>11</v>
      </c>
      <c r="E7" s="46" t="s">
        <v>12</v>
      </c>
      <c r="F7" s="46" t="s">
        <v>13</v>
      </c>
      <c r="G7" s="45" t="s">
        <v>14</v>
      </c>
      <c r="H7" s="45" t="s">
        <v>15</v>
      </c>
      <c r="I7" s="78" t="s">
        <v>16</v>
      </c>
      <c r="J7" s="43"/>
      <c r="K7" s="58" t="str">
        <f t="shared" ref="K7:AP7" si="12">CHOOSE(WEEKDAY(K6,1),"S","M","T","W","T","F","S")</f>
        <v>M</v>
      </c>
      <c r="L7" s="47" t="str">
        <f t="shared" si="12"/>
        <v>T</v>
      </c>
      <c r="M7" s="47" t="str">
        <f t="shared" si="12"/>
        <v>W</v>
      </c>
      <c r="N7" s="47" t="str">
        <f t="shared" si="12"/>
        <v>T</v>
      </c>
      <c r="O7" s="47" t="str">
        <f t="shared" si="12"/>
        <v>F</v>
      </c>
      <c r="P7" s="47" t="str">
        <f t="shared" si="12"/>
        <v>S</v>
      </c>
      <c r="Q7" s="59" t="str">
        <f t="shared" si="12"/>
        <v>S</v>
      </c>
      <c r="R7" s="58" t="str">
        <f t="shared" si="12"/>
        <v>M</v>
      </c>
      <c r="S7" s="47" t="str">
        <f t="shared" si="12"/>
        <v>T</v>
      </c>
      <c r="T7" s="47" t="str">
        <f t="shared" si="12"/>
        <v>W</v>
      </c>
      <c r="U7" s="47" t="str">
        <f t="shared" ref="U7:W7" si="13">CHOOSE(WEEKDAY(U6,1),"S","M","T","W","T","F","S")</f>
        <v>T</v>
      </c>
      <c r="V7" s="47" t="str">
        <f t="shared" si="13"/>
        <v>F</v>
      </c>
      <c r="W7" s="47" t="str">
        <f t="shared" si="13"/>
        <v>S</v>
      </c>
      <c r="X7" s="59" t="str">
        <f t="shared" si="12"/>
        <v>S</v>
      </c>
      <c r="Y7" s="57" t="str">
        <f t="shared" si="12"/>
        <v>M</v>
      </c>
      <c r="Z7" s="47" t="str">
        <f t="shared" si="12"/>
        <v>T</v>
      </c>
      <c r="AA7" s="47" t="str">
        <f t="shared" si="12"/>
        <v>W</v>
      </c>
      <c r="AB7" s="47" t="str">
        <f t="shared" si="12"/>
        <v>T</v>
      </c>
      <c r="AC7" s="47" t="str">
        <f t="shared" si="12"/>
        <v>F</v>
      </c>
      <c r="AD7" s="47" t="str">
        <f t="shared" si="12"/>
        <v>S</v>
      </c>
      <c r="AE7" s="60" t="str">
        <f t="shared" si="12"/>
        <v>S</v>
      </c>
      <c r="AF7" s="58" t="str">
        <f t="shared" si="12"/>
        <v>M</v>
      </c>
      <c r="AG7" s="47" t="str">
        <f t="shared" si="12"/>
        <v>T</v>
      </c>
      <c r="AH7" s="47" t="str">
        <f t="shared" si="12"/>
        <v>W</v>
      </c>
      <c r="AI7" s="47" t="str">
        <f t="shared" si="12"/>
        <v>T</v>
      </c>
      <c r="AJ7" s="47" t="str">
        <f t="shared" si="12"/>
        <v>F</v>
      </c>
      <c r="AK7" s="47" t="str">
        <f t="shared" si="12"/>
        <v>S</v>
      </c>
      <c r="AL7" s="59" t="str">
        <f t="shared" si="12"/>
        <v>S</v>
      </c>
      <c r="AM7" s="58" t="str">
        <f t="shared" si="12"/>
        <v>M</v>
      </c>
      <c r="AN7" s="47" t="str">
        <f t="shared" si="12"/>
        <v>T</v>
      </c>
      <c r="AO7" s="47" t="str">
        <f t="shared" si="12"/>
        <v>W</v>
      </c>
      <c r="AP7" s="47" t="str">
        <f t="shared" si="12"/>
        <v>T</v>
      </c>
      <c r="AQ7" s="47" t="str">
        <f t="shared" ref="AQ7:BN7" si="14">CHOOSE(WEEKDAY(AQ6,1),"S","M","T","W","T","F","S")</f>
        <v>F</v>
      </c>
      <c r="AR7" s="47" t="str">
        <f t="shared" si="14"/>
        <v>S</v>
      </c>
      <c r="AS7" s="59" t="str">
        <f t="shared" si="14"/>
        <v>S</v>
      </c>
      <c r="AT7" s="58" t="str">
        <f t="shared" si="14"/>
        <v>M</v>
      </c>
      <c r="AU7" s="47" t="str">
        <f t="shared" si="14"/>
        <v>T</v>
      </c>
      <c r="AV7" s="47" t="str">
        <f t="shared" si="14"/>
        <v>W</v>
      </c>
      <c r="AW7" s="47" t="str">
        <f t="shared" si="14"/>
        <v>T</v>
      </c>
      <c r="AX7" s="47" t="str">
        <f t="shared" si="14"/>
        <v>F</v>
      </c>
      <c r="AY7" s="47" t="str">
        <f t="shared" si="14"/>
        <v>S</v>
      </c>
      <c r="AZ7" s="59" t="str">
        <f t="shared" si="14"/>
        <v>S</v>
      </c>
      <c r="BA7" s="58" t="str">
        <f t="shared" si="14"/>
        <v>M</v>
      </c>
      <c r="BB7" s="47" t="str">
        <f t="shared" si="14"/>
        <v>T</v>
      </c>
      <c r="BC7" s="47" t="str">
        <f t="shared" si="14"/>
        <v>W</v>
      </c>
      <c r="BD7" s="47" t="str">
        <f t="shared" si="14"/>
        <v>T</v>
      </c>
      <c r="BE7" s="47" t="str">
        <f t="shared" si="14"/>
        <v>F</v>
      </c>
      <c r="BF7" s="47" t="str">
        <f t="shared" si="14"/>
        <v>S</v>
      </c>
      <c r="BG7" s="59" t="str">
        <f t="shared" si="14"/>
        <v>S</v>
      </c>
      <c r="BH7" s="58" t="str">
        <f t="shared" si="14"/>
        <v>M</v>
      </c>
      <c r="BI7" s="47" t="str">
        <f t="shared" si="14"/>
        <v>T</v>
      </c>
      <c r="BJ7" s="47" t="str">
        <f t="shared" si="14"/>
        <v>W</v>
      </c>
      <c r="BK7" s="47" t="str">
        <f t="shared" si="14"/>
        <v>T</v>
      </c>
      <c r="BL7" s="47" t="str">
        <f t="shared" si="14"/>
        <v>F</v>
      </c>
      <c r="BM7" s="47" t="str">
        <f t="shared" si="14"/>
        <v>S</v>
      </c>
      <c r="BN7" s="59" t="str">
        <f t="shared" si="14"/>
        <v>S</v>
      </c>
      <c r="BO7" s="58" t="str">
        <f t="shared" ref="BO7:BU7" si="15">CHOOSE(WEEKDAY(BO6,1),"S","M","T","W","T","F","S")</f>
        <v>M</v>
      </c>
      <c r="BP7" s="47" t="str">
        <f t="shared" si="15"/>
        <v>T</v>
      </c>
      <c r="BQ7" s="47" t="str">
        <f t="shared" si="15"/>
        <v>W</v>
      </c>
      <c r="BR7" s="47" t="str">
        <f t="shared" si="15"/>
        <v>T</v>
      </c>
      <c r="BS7" s="47" t="str">
        <f t="shared" si="15"/>
        <v>F</v>
      </c>
      <c r="BT7" s="47" t="str">
        <f t="shared" si="15"/>
        <v>S</v>
      </c>
      <c r="BU7" s="59" t="str">
        <f t="shared" si="15"/>
        <v>S</v>
      </c>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row>
    <row r="8" spans="1:150" s="26" customFormat="1" ht="18.75" thickTop="1">
      <c r="A8" s="79" t="str">
        <f ca="1">IF(ISERROR(VALUE(SUBSTITUTE(prevWBS,".",""))),"1",IF(ISERROR(FIND("`",SUBSTITUTE(prevWBS,".","`",1))),TEXT(VALUE(prevWBS)+1,"#"),TEXT(VALUE(LEFT(prevWBS,FIND("`",SUBSTITUTE(prevWBS,".","`",1))-1))+1,"#")))</f>
        <v>1</v>
      </c>
      <c r="B8" s="76" t="s">
        <v>17</v>
      </c>
      <c r="D8" s="27"/>
      <c r="E8" s="28"/>
      <c r="F8" s="28"/>
      <c r="G8" s="29"/>
      <c r="H8" s="30"/>
      <c r="I8" s="92"/>
      <c r="J8" s="82"/>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row>
    <row r="9" spans="1:150" s="32" customFormat="1" ht="22.5">
      <c r="A9" s="80" t="str">
        <f t="shared" ref="A9:A12" ca="1" si="1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30" t="s">
        <v>18</v>
      </c>
      <c r="C9" s="138" t="s">
        <v>19</v>
      </c>
      <c r="D9" s="183" t="s">
        <v>20</v>
      </c>
      <c r="E9" s="133">
        <v>46054</v>
      </c>
      <c r="F9" s="125">
        <f>IF(ISBLANK(E9)," - ",IF(G9=0,E9,E9+G9-1))</f>
        <v>46056</v>
      </c>
      <c r="G9" s="134">
        <v>3</v>
      </c>
      <c r="H9" s="135">
        <v>0</v>
      </c>
      <c r="I9" s="90">
        <f t="shared" ref="I9:I12" si="17">IF(OR(F9=0,E9=0),0,NETWORKDAYS(E9,F9))</f>
        <v>2</v>
      </c>
      <c r="J9" s="8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row>
    <row r="10" spans="1:150" s="32" customFormat="1" ht="22.5">
      <c r="A10" s="80" t="str">
        <f t="shared" ca="1" si="16"/>
        <v>1.2</v>
      </c>
      <c r="B10" s="130" t="s">
        <v>21</v>
      </c>
      <c r="C10" s="138" t="s">
        <v>22</v>
      </c>
      <c r="D10" s="132" t="s">
        <v>20</v>
      </c>
      <c r="E10" s="133">
        <v>46055</v>
      </c>
      <c r="F10" s="125">
        <f>IF(ISBLANK(E10)," - ",IF(G10=0,E10,E10+G10-1))</f>
        <v>46058</v>
      </c>
      <c r="G10" s="134">
        <v>4</v>
      </c>
      <c r="H10" s="135">
        <v>0</v>
      </c>
      <c r="I10" s="90">
        <f t="shared" si="17"/>
        <v>4</v>
      </c>
      <c r="J10" s="8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row>
    <row r="11" spans="1:150" s="32" customFormat="1" ht="22.5">
      <c r="A1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1" s="130" t="s">
        <v>23</v>
      </c>
      <c r="C11" s="138" t="s">
        <v>19</v>
      </c>
      <c r="D11" s="132" t="s">
        <v>20</v>
      </c>
      <c r="E11" s="133">
        <v>46055</v>
      </c>
      <c r="F11" s="125">
        <f>IF(ISBLANK(E11)," - ",IF(G11=0,E11,E11+G11-1))</f>
        <v>46059</v>
      </c>
      <c r="G11" s="134">
        <v>5</v>
      </c>
      <c r="H11" s="135">
        <v>0</v>
      </c>
      <c r="I11" s="90">
        <f t="shared" si="17"/>
        <v>5</v>
      </c>
      <c r="J11" s="8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row>
    <row r="12" spans="1:150" s="32" customFormat="1" ht="18">
      <c r="A12" s="80" t="str">
        <f t="shared" ca="1" si="16"/>
        <v>1.4</v>
      </c>
      <c r="B12" s="130" t="s">
        <v>24</v>
      </c>
      <c r="C12" s="131" t="s">
        <v>7</v>
      </c>
      <c r="D12" s="184" t="s">
        <v>20</v>
      </c>
      <c r="E12" s="133">
        <v>46056</v>
      </c>
      <c r="F12" s="125">
        <f>IF(ISBLANK(E12)," - ",IF(G12=0,E12,E12+G12-1))</f>
        <v>46060</v>
      </c>
      <c r="G12" s="134">
        <v>5</v>
      </c>
      <c r="H12" s="135">
        <v>0</v>
      </c>
      <c r="I12" s="90">
        <f t="shared" si="17"/>
        <v>4</v>
      </c>
      <c r="J12" s="8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row>
    <row r="13" spans="1:150" s="31" customFormat="1" ht="18">
      <c r="A13" s="81" t="str">
        <f ca="1">IF(ISERROR(VALUE(SUBSTITUTE(prevWBS,".",""))),"1",IF(ISERROR(FIND("`",SUBSTITUTE(prevWBS,".","`",1))),TEXT(VALUE(prevWBS)+1,"#"),TEXT(VALUE(LEFT(prevWBS,FIND("`",SUBSTITUTE(prevWBS,".","`",1))-1))+1,"#")))</f>
        <v>2</v>
      </c>
      <c r="B13" s="77" t="s">
        <v>25</v>
      </c>
      <c r="D13" s="182"/>
      <c r="E13" s="126"/>
      <c r="F13" s="127"/>
      <c r="G13" s="35"/>
      <c r="H13" s="36"/>
      <c r="I13" s="91"/>
      <c r="J13" s="8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row>
    <row r="14" spans="1:150" s="32" customFormat="1" ht="22.5">
      <c r="A14" s="80" t="str">
        <f t="shared" ref="A14:A18" ca="1" si="1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4" s="137" t="s">
        <v>26</v>
      </c>
      <c r="C14" s="140" t="s">
        <v>27</v>
      </c>
      <c r="D14" s="185" t="s">
        <v>20</v>
      </c>
      <c r="E14" s="133">
        <v>46060</v>
      </c>
      <c r="F14" s="125">
        <f>IF(ISBLANK(E14)," - ",IF(G14=0,E14,E14+G14-1))</f>
        <v>46071</v>
      </c>
      <c r="G14" s="134">
        <v>12</v>
      </c>
      <c r="H14" s="135">
        <v>0</v>
      </c>
      <c r="I14" s="90">
        <f t="shared" ref="I14:I18" si="19">IF(OR(F14=0,E14=0),0,NETWORKDAYS(E14,F14))</f>
        <v>8</v>
      </c>
      <c r="J14" s="8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row>
    <row r="15" spans="1:150" s="32" customFormat="1" ht="22.5">
      <c r="A15" s="80" t="str">
        <f t="shared" ca="1" si="18"/>
        <v>2.2</v>
      </c>
      <c r="B15" s="137" t="s">
        <v>28</v>
      </c>
      <c r="C15" s="139" t="s">
        <v>27</v>
      </c>
      <c r="D15" s="185" t="s">
        <v>29</v>
      </c>
      <c r="E15" s="133">
        <v>46071</v>
      </c>
      <c r="F15" s="125">
        <f t="shared" ref="F14:F18" si="20">IF(ISBLANK(E15)," - ",IF(G15=0,E15,E15+G15-1))</f>
        <v>46074</v>
      </c>
      <c r="G15" s="134">
        <v>4</v>
      </c>
      <c r="H15" s="135">
        <v>0</v>
      </c>
      <c r="I15" s="90">
        <f t="shared" si="19"/>
        <v>3</v>
      </c>
      <c r="J15" s="8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row>
    <row r="16" spans="1:150" s="32" customFormat="1" ht="22.5">
      <c r="A16" s="80" t="str">
        <f t="shared" ca="1" si="18"/>
        <v>2.3</v>
      </c>
      <c r="B16" s="137" t="s">
        <v>30</v>
      </c>
      <c r="C16" s="139" t="s">
        <v>27</v>
      </c>
      <c r="D16" s="185" t="s">
        <v>31</v>
      </c>
      <c r="E16" s="133">
        <v>46074</v>
      </c>
      <c r="F16" s="125">
        <f>IF(ISBLANK(E16)," - ",IF(G16=0,E16,E16+G16-1))</f>
        <v>46082</v>
      </c>
      <c r="G16" s="134">
        <v>9</v>
      </c>
      <c r="H16" s="135">
        <v>0</v>
      </c>
      <c r="I16" s="90">
        <f t="shared" si="19"/>
        <v>5</v>
      </c>
      <c r="J16" s="8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row>
    <row r="17" spans="1:73" s="32" customFormat="1" ht="18">
      <c r="A17" s="80" t="str">
        <f t="shared" ca="1" si="18"/>
        <v>2.4</v>
      </c>
      <c r="B17" s="137" t="s">
        <v>32</v>
      </c>
      <c r="C17" s="136" t="s">
        <v>7</v>
      </c>
      <c r="D17" s="185" t="s">
        <v>31</v>
      </c>
      <c r="E17" s="133">
        <v>46079</v>
      </c>
      <c r="F17" s="125">
        <f>IF(ISBLANK(E17)," - ",IF(G17=0,E17,E17+G17-1))</f>
        <v>46084</v>
      </c>
      <c r="G17" s="134">
        <v>6</v>
      </c>
      <c r="H17" s="135">
        <v>0</v>
      </c>
      <c r="I17" s="90">
        <f t="shared" si="19"/>
        <v>4</v>
      </c>
      <c r="J17" s="8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row>
    <row r="18" spans="1:73" s="32" customFormat="1" ht="22.5">
      <c r="A18" s="80" t="str">
        <f t="shared" ca="1" si="18"/>
        <v>2.5</v>
      </c>
      <c r="B18" s="137" t="s">
        <v>33</v>
      </c>
      <c r="C18" s="139" t="s">
        <v>34</v>
      </c>
      <c r="D18" s="185" t="s">
        <v>35</v>
      </c>
      <c r="E18" s="133">
        <v>46082</v>
      </c>
      <c r="F18" s="125">
        <f>IF(ISBLANK(E18)," - ",IF(G18=0,E18,E18+G18-1))</f>
        <v>46088</v>
      </c>
      <c r="G18" s="134">
        <v>7</v>
      </c>
      <c r="H18" s="135">
        <v>0</v>
      </c>
      <c r="I18" s="90">
        <f t="shared" si="19"/>
        <v>5</v>
      </c>
      <c r="J18" s="8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row>
    <row r="19" spans="1:73" s="31" customFormat="1" ht="18">
      <c r="A19" s="81" t="str">
        <f ca="1">IF(ISERROR(VALUE(SUBSTITUTE(prevWBS,".",""))),"1",IF(ISERROR(FIND("`",SUBSTITUTE(prevWBS,".","`",1))),TEXT(VALUE(prevWBS)+1,"#"),TEXT(VALUE(LEFT(prevWBS,FIND("`",SUBSTITUTE(prevWBS,".","`",1))-1))+1,"#")))</f>
        <v>3</v>
      </c>
      <c r="B19" s="77" t="s">
        <v>36</v>
      </c>
      <c r="D19" s="186"/>
      <c r="E19" s="128"/>
      <c r="F19" s="129"/>
      <c r="G19" s="35"/>
      <c r="H19" s="36"/>
      <c r="I19" s="91"/>
      <c r="J19" s="8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row>
    <row r="20" spans="1:73" s="32" customFormat="1" ht="22.5">
      <c r="A2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137" t="s">
        <v>37</v>
      </c>
      <c r="C20" s="139" t="s">
        <v>22</v>
      </c>
      <c r="D20" s="185" t="s">
        <v>38</v>
      </c>
      <c r="E20" s="133">
        <v>46088</v>
      </c>
      <c r="F20" s="125">
        <f>IF(ISBLANK(E20)," - ",IF(G20=0,E20,E20+G20-1))</f>
        <v>46090</v>
      </c>
      <c r="G20" s="134">
        <v>3</v>
      </c>
      <c r="H20" s="135">
        <v>0</v>
      </c>
      <c r="I20" s="90">
        <f>IF(OR(F20=0,E20=0),0,NETWORKDAYS(E20,F20))</f>
        <v>1</v>
      </c>
      <c r="J20" s="8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row>
    <row r="21" spans="1:73" s="32" customFormat="1" ht="22.5">
      <c r="A2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137" t="s">
        <v>39</v>
      </c>
      <c r="C21" s="139" t="s">
        <v>22</v>
      </c>
      <c r="D21" s="185" t="s">
        <v>40</v>
      </c>
      <c r="E21" s="133">
        <v>46090</v>
      </c>
      <c r="F21" s="125">
        <f>IF(ISBLANK(E21)," - ",IF(G21=0,E21,E21+G21-1))</f>
        <v>46093</v>
      </c>
      <c r="G21" s="134">
        <v>4</v>
      </c>
      <c r="H21" s="135">
        <v>0</v>
      </c>
      <c r="I21" s="90">
        <f>IF(OR(F21=0,E21=0),0,NETWORKDAYS(E21,F21))</f>
        <v>4</v>
      </c>
      <c r="J21" s="8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row>
    <row r="22" spans="1:73" s="32" customFormat="1" ht="22.5">
      <c r="A2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2" s="137" t="s">
        <v>41</v>
      </c>
      <c r="C22" s="139" t="s">
        <v>22</v>
      </c>
      <c r="D22" s="185" t="s">
        <v>20</v>
      </c>
      <c r="E22" s="133">
        <v>46092</v>
      </c>
      <c r="F22" s="125">
        <f t="shared" ref="F22" si="21">IF(ISBLANK(E22)," - ",IF(G22=0,E22,E22+G22-1))</f>
        <v>46094</v>
      </c>
      <c r="G22" s="134">
        <v>3</v>
      </c>
      <c r="H22" s="135">
        <v>0</v>
      </c>
      <c r="I22" s="90">
        <f>IF(OR(F22=0,E22=0),0,NETWORKDAYS(E22,F22))</f>
        <v>3</v>
      </c>
      <c r="J22" s="8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row>
    <row r="23" spans="1:73" s="32" customFormat="1" ht="22.5">
      <c r="A2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3" s="137" t="s">
        <v>42</v>
      </c>
      <c r="C23" s="139" t="s">
        <v>22</v>
      </c>
      <c r="D23" s="185" t="s">
        <v>40</v>
      </c>
      <c r="E23" s="133">
        <v>46093</v>
      </c>
      <c r="F23" s="125">
        <f>IF(ISBLANK(E23)," - ",IF(G23=0,E23,E23+G23-1))</f>
        <v>46095</v>
      </c>
      <c r="G23" s="134">
        <v>3</v>
      </c>
      <c r="H23" s="135">
        <v>0</v>
      </c>
      <c r="I23" s="90">
        <f>IF(OR(F23=0,E23=0),0,NETWORKDAYS(E23,F23))</f>
        <v>2</v>
      </c>
      <c r="J23" s="8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row>
    <row r="24" spans="1:73" s="31" customFormat="1" ht="18">
      <c r="A24" s="81" t="str">
        <f ca="1">IF(ISERROR(VALUE(SUBSTITUTE(prevWBS,".",""))),"1",IF(ISERROR(FIND("`",SUBSTITUTE(prevWBS,".","`",1))),TEXT(VALUE(prevWBS)+1,"#"),TEXT(VALUE(LEFT(prevWBS,FIND("`",SUBSTITUTE(prevWBS,".","`",1))-1))+1,"#")))</f>
        <v>4</v>
      </c>
      <c r="B24" s="77" t="s">
        <v>43</v>
      </c>
      <c r="D24" s="186"/>
      <c r="E24" s="128"/>
      <c r="F24" s="129"/>
      <c r="G24" s="35"/>
      <c r="H24" s="36"/>
      <c r="I24" s="91"/>
      <c r="J24" s="8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row>
    <row r="25" spans="1:73" s="32" customFormat="1" ht="22.5">
      <c r="A2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5" s="137" t="s">
        <v>44</v>
      </c>
      <c r="C25" s="139" t="s">
        <v>22</v>
      </c>
      <c r="D25" s="185" t="s">
        <v>45</v>
      </c>
      <c r="E25" s="133">
        <v>46091</v>
      </c>
      <c r="F25" s="125">
        <f t="shared" ref="F25:F28" si="22">IF(ISBLANK(E25)," - ",IF(G25=0,E25,E25+G25-1))</f>
        <v>46095</v>
      </c>
      <c r="G25" s="134">
        <v>5</v>
      </c>
      <c r="H25" s="135">
        <v>0</v>
      </c>
      <c r="I25" s="90">
        <f>IF(OR(F25=0,E25=0),0,NETWORKDAYS(E25,F25))</f>
        <v>4</v>
      </c>
      <c r="J25" s="8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row>
    <row r="26" spans="1:73" s="32" customFormat="1" ht="22.5">
      <c r="A2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6" s="137" t="s">
        <v>46</v>
      </c>
      <c r="C26" s="139" t="s">
        <v>22</v>
      </c>
      <c r="D26" s="185" t="s">
        <v>45</v>
      </c>
      <c r="E26" s="133">
        <v>46091</v>
      </c>
      <c r="F26" s="125">
        <f>IF(ISBLANK(E26)," - ",IF(G26=0,E26,E26+G26-1))</f>
        <v>46095</v>
      </c>
      <c r="G26" s="134">
        <v>5</v>
      </c>
      <c r="H26" s="135">
        <v>0</v>
      </c>
      <c r="I26" s="90">
        <f>IF(OR(F26=0,E26=0),0,NETWORKDAYS(E26,F26))</f>
        <v>4</v>
      </c>
      <c r="J26" s="8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row>
    <row r="27" spans="1:73" s="32" customFormat="1" ht="22.5">
      <c r="A2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7" s="137" t="s">
        <v>47</v>
      </c>
      <c r="C27" s="139" t="s">
        <v>22</v>
      </c>
      <c r="D27" s="185" t="s">
        <v>45</v>
      </c>
      <c r="E27" s="133">
        <v>46093</v>
      </c>
      <c r="F27" s="125">
        <f>IF(ISBLANK(E27)," - ",IF(G27=0,E27,E27+G27-1))</f>
        <v>46096</v>
      </c>
      <c r="G27" s="134">
        <v>4</v>
      </c>
      <c r="H27" s="135">
        <v>0</v>
      </c>
      <c r="I27" s="90">
        <f>IF(OR(F27=0,E27=0),0,NETWORKDAYS(E27,F27))</f>
        <v>2</v>
      </c>
      <c r="J27" s="8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row>
    <row r="28" spans="1:73" s="32" customFormat="1" ht="22.5">
      <c r="A2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8" s="137" t="s">
        <v>48</v>
      </c>
      <c r="C28" s="139" t="s">
        <v>22</v>
      </c>
      <c r="D28" s="185" t="s">
        <v>49</v>
      </c>
      <c r="E28" s="133">
        <v>46095</v>
      </c>
      <c r="F28" s="125">
        <f t="shared" si="22"/>
        <v>46099</v>
      </c>
      <c r="G28" s="134">
        <v>5</v>
      </c>
      <c r="H28" s="135">
        <v>0</v>
      </c>
      <c r="I28" s="90">
        <f>IF(OR(F28=0,E28=0),0,NETWORKDAYS(E28,F28))</f>
        <v>3</v>
      </c>
      <c r="J28" s="8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row>
    <row r="29" spans="1:73" s="31" customFormat="1" ht="18">
      <c r="A29" s="81" t="str">
        <f ca="1">IF(ISERROR(VALUE(SUBSTITUTE(prevWBS,".",""))),"1",IF(ISERROR(FIND("`",SUBSTITUTE(prevWBS,".","`",1))),TEXT(VALUE(prevWBS)+1,"#"),TEXT(VALUE(LEFT(prevWBS,FIND("`",SUBSTITUTE(prevWBS,".","`",1))-1))+1,"#")))</f>
        <v>5</v>
      </c>
      <c r="B29" s="77" t="s">
        <v>50</v>
      </c>
      <c r="D29" s="186"/>
      <c r="E29" s="128"/>
      <c r="F29" s="129"/>
      <c r="G29" s="35"/>
      <c r="H29" s="36"/>
      <c r="I29" s="91"/>
      <c r="J29" s="8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row>
    <row r="30" spans="1:73" s="32" customFormat="1" ht="22.5">
      <c r="A3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0" s="137" t="s">
        <v>51</v>
      </c>
      <c r="C30" s="139" t="s">
        <v>22</v>
      </c>
      <c r="D30" s="185" t="s">
        <v>52</v>
      </c>
      <c r="E30" s="133">
        <v>46099</v>
      </c>
      <c r="F30" s="125">
        <f t="shared" ref="F30:F33" si="23">IF(ISBLANK(E30)," - ",IF(G30=0,E30,E30+G30-1))</f>
        <v>46101</v>
      </c>
      <c r="G30" s="134">
        <v>3</v>
      </c>
      <c r="H30" s="135">
        <v>0</v>
      </c>
      <c r="I30" s="90">
        <f>IF(OR(F30=0,E30=0),0,NETWORKDAYS(E30,F30))</f>
        <v>3</v>
      </c>
      <c r="J30" s="8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row>
    <row r="31" spans="1:73" s="32" customFormat="1" ht="22.5">
      <c r="A3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1" s="137" t="s">
        <v>53</v>
      </c>
      <c r="C31" s="139" t="s">
        <v>22</v>
      </c>
      <c r="D31" s="185" t="s">
        <v>54</v>
      </c>
      <c r="E31" s="133">
        <v>46101</v>
      </c>
      <c r="F31" s="125">
        <f t="shared" si="23"/>
        <v>46103</v>
      </c>
      <c r="G31" s="134">
        <v>3</v>
      </c>
      <c r="H31" s="135">
        <v>0</v>
      </c>
      <c r="I31" s="90">
        <f>IF(OR(F31=0,E31=0),0,NETWORKDAYS(E31,F31))</f>
        <v>1</v>
      </c>
      <c r="J31" s="8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row>
    <row r="32" spans="1:73" s="32" customFormat="1" ht="22.5">
      <c r="A3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2" s="137" t="s">
        <v>55</v>
      </c>
      <c r="C32" s="139" t="s">
        <v>22</v>
      </c>
      <c r="D32" s="185" t="s">
        <v>56</v>
      </c>
      <c r="E32" s="133">
        <v>46103</v>
      </c>
      <c r="F32" s="125">
        <f t="shared" si="23"/>
        <v>46104</v>
      </c>
      <c r="G32" s="134">
        <v>2</v>
      </c>
      <c r="H32" s="135">
        <v>0</v>
      </c>
      <c r="I32" s="90">
        <f>IF(OR(F32=0,E32=0),0,NETWORKDAYS(E32,F32))</f>
        <v>1</v>
      </c>
      <c r="J32" s="8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row>
    <row r="33" spans="1:123" s="32" customFormat="1" ht="22.5">
      <c r="A3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33" s="137" t="s">
        <v>57</v>
      </c>
      <c r="C33" s="139" t="s">
        <v>22</v>
      </c>
      <c r="D33" s="185" t="s">
        <v>58</v>
      </c>
      <c r="E33" s="133">
        <v>46104</v>
      </c>
      <c r="F33" s="125">
        <f>IF(ISBLANK(E33)," - ",IF(G33=0,E33,E33+G33-1))</f>
        <v>46109</v>
      </c>
      <c r="G33" s="134">
        <v>6</v>
      </c>
      <c r="H33" s="135">
        <v>0</v>
      </c>
      <c r="I33" s="90">
        <f>IF(OR(F33=0,E33=0),0,NETWORKDAYS(E33,F33))</f>
        <v>5</v>
      </c>
      <c r="J33" s="8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row>
    <row r="34" spans="1:123" s="31" customFormat="1" ht="18">
      <c r="A34" s="81" t="str">
        <f ca="1">IF(ISERROR(VALUE(SUBSTITUTE(prevWBS,".",""))),"1",IF(ISERROR(FIND("`",SUBSTITUTE(prevWBS,".","`",1))),TEXT(VALUE(prevWBS)+1,"#"),TEXT(VALUE(LEFT(prevWBS,FIND("`",SUBSTITUTE(prevWBS,".","`",1))-1))+1,"#")))</f>
        <v>6</v>
      </c>
      <c r="B34" s="77" t="s">
        <v>59</v>
      </c>
      <c r="D34" s="186"/>
      <c r="E34" s="128"/>
      <c r="F34" s="129"/>
      <c r="G34" s="35"/>
      <c r="H34" s="36"/>
      <c r="I34" s="91"/>
      <c r="J34" s="8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row>
    <row r="35" spans="1:123" s="32" customFormat="1" ht="22.5">
      <c r="A3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35" s="137" t="s">
        <v>60</v>
      </c>
      <c r="C35" s="139" t="s">
        <v>27</v>
      </c>
      <c r="D35" s="185" t="s">
        <v>61</v>
      </c>
      <c r="E35" s="133">
        <v>46095</v>
      </c>
      <c r="F35" s="125">
        <f>IF(ISBLANK(E35)," - ",IF(G35=0,E35,E35+G35-1))</f>
        <v>46126</v>
      </c>
      <c r="G35" s="134">
        <v>32</v>
      </c>
      <c r="H35" s="135">
        <v>0</v>
      </c>
      <c r="I35" s="90">
        <f>IF(OR(F35=0,E35=0),0,NETWORKDAYS(E35,F35))</f>
        <v>22</v>
      </c>
      <c r="J35" s="8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row>
    <row r="36" spans="1:123" s="32" customFormat="1" ht="22.5">
      <c r="A3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6.2</v>
      </c>
      <c r="B36" s="137" t="s">
        <v>62</v>
      </c>
      <c r="C36" s="139" t="s">
        <v>27</v>
      </c>
      <c r="D36" s="185" t="s">
        <v>63</v>
      </c>
      <c r="E36" s="133">
        <v>46126</v>
      </c>
      <c r="F36" s="125">
        <f t="shared" ref="F36:F39" si="24">IF(ISBLANK(E36)," - ",IF(G36=0,E36,E36+G36-1))</f>
        <v>46129</v>
      </c>
      <c r="G36" s="134">
        <v>4</v>
      </c>
      <c r="H36" s="135">
        <v>0</v>
      </c>
      <c r="I36" s="90">
        <f>IF(OR(F36=0,E36=0),0,NETWORKDAYS(E36,F36))</f>
        <v>4</v>
      </c>
      <c r="J36" s="8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row>
    <row r="37" spans="1:123" s="32" customFormat="1" ht="22.5">
      <c r="A3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v>
      </c>
      <c r="B37" s="137" t="s">
        <v>64</v>
      </c>
      <c r="C37" s="139" t="s">
        <v>22</v>
      </c>
      <c r="D37" s="185" t="s">
        <v>65</v>
      </c>
      <c r="E37" s="133">
        <v>46129</v>
      </c>
      <c r="F37" s="125">
        <f t="shared" si="24"/>
        <v>46130</v>
      </c>
      <c r="G37" s="134">
        <v>2</v>
      </c>
      <c r="H37" s="135">
        <v>0.2</v>
      </c>
      <c r="I37" s="90">
        <f>IF(OR(F37=0,E37=0),0,NETWORKDAYS(E37,F37))</f>
        <v>1</v>
      </c>
      <c r="J37" s="8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row>
    <row r="38" spans="1:123" s="32" customFormat="1" ht="22.5">
      <c r="A3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6.4</v>
      </c>
      <c r="B38" s="137" t="s">
        <v>66</v>
      </c>
      <c r="C38" s="139" t="s">
        <v>22</v>
      </c>
      <c r="D38" s="185" t="s">
        <v>67</v>
      </c>
      <c r="E38" s="133">
        <v>46132</v>
      </c>
      <c r="F38" s="125">
        <f t="shared" si="24"/>
        <v>46135</v>
      </c>
      <c r="G38" s="134">
        <v>4</v>
      </c>
      <c r="H38" s="135">
        <v>0</v>
      </c>
      <c r="I38" s="90">
        <f>IF(OR(F38=0,E38=0),0,NETWORKDAYS(E38,F38))</f>
        <v>4</v>
      </c>
      <c r="J38" s="8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row>
    <row r="39" spans="1:123" s="32" customFormat="1" ht="22.5">
      <c r="A39"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6.5</v>
      </c>
      <c r="B39" s="137" t="s">
        <v>68</v>
      </c>
      <c r="C39" s="139" t="s">
        <v>22</v>
      </c>
      <c r="D39" s="185" t="s">
        <v>69</v>
      </c>
      <c r="E39" s="133">
        <v>46135</v>
      </c>
      <c r="F39" s="125">
        <f t="shared" si="24"/>
        <v>46137</v>
      </c>
      <c r="G39" s="134">
        <v>3</v>
      </c>
      <c r="H39" s="135">
        <v>0</v>
      </c>
      <c r="I39" s="90">
        <f>IF(OR(F39=0,E39=0),0,NETWORKDAYS(E39,F39))</f>
        <v>2</v>
      </c>
      <c r="J39" s="8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row>
    <row r="40" spans="1:123" s="37" customFormat="1" ht="15">
      <c r="A40" s="141" t="str">
        <f ca="1">IF(ISERROR(VALUE(SUBSTITUTE(prevWBS,".",""))),"1",IF(ISERROR(FIND("`",SUBSTITUTE(prevWBS,".","`",1))),TEXT(VALUE(prevWBS)+1,"#"),TEXT(VALUE(LEFT(prevWBS,FIND("`",SUBSTITUTE(prevWBS,".","`",1))-1))+1,"#")))</f>
        <v>7</v>
      </c>
      <c r="B40" s="77" t="s">
        <v>70</v>
      </c>
      <c r="C40" s="31"/>
      <c r="D40" s="187"/>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row>
    <row r="41" spans="1:123" s="37" customFormat="1" ht="22.5">
      <c r="A4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41" s="137" t="s">
        <v>71</v>
      </c>
      <c r="C41" s="139" t="s">
        <v>34</v>
      </c>
      <c r="D41" s="185" t="s">
        <v>72</v>
      </c>
      <c r="E41" s="133">
        <v>46137</v>
      </c>
      <c r="F41" s="125">
        <f>IF(ISBLANK(E41)," - ",IF(G41=0,E41,E41+G41-1))</f>
        <v>46142</v>
      </c>
      <c r="G41" s="134">
        <v>6</v>
      </c>
      <c r="H41" s="135">
        <v>0</v>
      </c>
      <c r="I41" s="90">
        <f>IF(OR(F41=0,E41=0),0,NETWORKDAYS(E41,F41))</f>
        <v>4</v>
      </c>
      <c r="J41" s="8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row>
    <row r="42" spans="1:123" s="38" customFormat="1" ht="27" customHeight="1">
      <c r="A4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42" s="137" t="s">
        <v>73</v>
      </c>
      <c r="C42" s="139" t="s">
        <v>34</v>
      </c>
      <c r="D42" s="185" t="s">
        <v>72</v>
      </c>
      <c r="E42" s="133">
        <v>46140</v>
      </c>
      <c r="F42" s="125">
        <f t="shared" ref="F42:F44" si="25">IF(ISBLANK(E42)," - ",IF(G42=0,E42,E42+G42-1))</f>
        <v>46144</v>
      </c>
      <c r="G42" s="134">
        <v>5</v>
      </c>
      <c r="H42" s="135">
        <v>0</v>
      </c>
      <c r="I42" s="90">
        <f>IF(OR(F42=0,E42=0),0,NETWORKDAYS(E42,F42))</f>
        <v>4</v>
      </c>
      <c r="J42" s="8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row>
    <row r="43" spans="1:123" s="37" customFormat="1" ht="22.5">
      <c r="A4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43" s="137" t="s">
        <v>74</v>
      </c>
      <c r="C43" s="139" t="s">
        <v>34</v>
      </c>
      <c r="D43" s="185" t="s">
        <v>72</v>
      </c>
      <c r="E43" s="133">
        <v>46142</v>
      </c>
      <c r="F43" s="125">
        <f t="shared" si="25"/>
        <v>46146</v>
      </c>
      <c r="G43" s="134">
        <v>5</v>
      </c>
      <c r="H43" s="135">
        <v>0</v>
      </c>
      <c r="I43" s="90">
        <f>IF(OR(F43=0,E43=0),0,NETWORKDAYS(E43,F43))</f>
        <v>3</v>
      </c>
      <c r="J43" s="8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row>
    <row r="44" spans="1:123" s="37" customFormat="1" ht="22.5">
      <c r="A44"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7.4</v>
      </c>
      <c r="B44" s="137" t="s">
        <v>75</v>
      </c>
      <c r="C44" s="139" t="s">
        <v>34</v>
      </c>
      <c r="D44" s="185" t="s">
        <v>76</v>
      </c>
      <c r="E44" s="133">
        <v>46146</v>
      </c>
      <c r="F44" s="125">
        <f t="shared" si="25"/>
        <v>46148</v>
      </c>
      <c r="G44" s="134">
        <v>3</v>
      </c>
      <c r="H44" s="135">
        <v>0</v>
      </c>
      <c r="I44" s="90">
        <f>IF(OR(F44=0,E44=0),0,NETWORKDAYS(E44,F44))</f>
        <v>3</v>
      </c>
      <c r="J44" s="8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row>
    <row r="45" spans="1:123" s="39" customFormat="1" ht="19.5" customHeight="1">
      <c r="A45" s="141" t="str">
        <f ca="1">IF(ISERROR(VALUE(SUBSTITUTE(prevWBS,".",""))),"1",IF(ISERROR(FIND("`",SUBSTITUTE(prevWBS,".","`",1))),TEXT(VALUE(prevWBS)+1,"#"),TEXT(VALUE(LEFT(prevWBS,FIND("`",SUBSTITUTE(prevWBS,".","`",1))-1))+1,"#")))</f>
        <v>8</v>
      </c>
      <c r="B45" s="77" t="s">
        <v>77</v>
      </c>
      <c r="C45" s="31"/>
      <c r="D45" s="187"/>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row>
    <row r="46" spans="1:123" ht="19.5" customHeight="1">
      <c r="A4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8.1</v>
      </c>
      <c r="B46" s="137" t="s">
        <v>78</v>
      </c>
      <c r="C46" s="139" t="s">
        <v>19</v>
      </c>
      <c r="D46" s="185" t="s">
        <v>79</v>
      </c>
      <c r="E46" s="133">
        <v>46148</v>
      </c>
      <c r="F46" s="125">
        <f>IF(ISBLANK(E46)," - ",IF(G46=0,E46,E46+G46-1))</f>
        <v>46149</v>
      </c>
      <c r="G46" s="134">
        <v>2</v>
      </c>
      <c r="H46" s="135">
        <v>0</v>
      </c>
      <c r="I46" s="90">
        <f>IF(OR(F46=0,E46=0),0,NETWORKDAYS(E46,F46))</f>
        <v>2</v>
      </c>
      <c r="J46" s="8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row>
    <row r="47" spans="1:123" ht="19.5" customHeight="1">
      <c r="A4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8.2</v>
      </c>
      <c r="B47" s="137" t="s">
        <v>80</v>
      </c>
      <c r="C47" s="139" t="s">
        <v>22</v>
      </c>
      <c r="D47" s="185" t="s">
        <v>79</v>
      </c>
      <c r="E47" s="133">
        <v>46148</v>
      </c>
      <c r="F47" s="125">
        <f t="shared" ref="F47:F48" si="26">IF(ISBLANK(E47)," - ",IF(G47=0,E47,E47+G47-1))</f>
        <v>46149</v>
      </c>
      <c r="G47" s="134">
        <v>2</v>
      </c>
      <c r="H47" s="135">
        <v>0</v>
      </c>
      <c r="I47" s="90">
        <f>IF(OR(F47=0,E47=0),0,NETWORKDAYS(E47,F47))</f>
        <v>2</v>
      </c>
      <c r="J47" s="8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row>
    <row r="48" spans="1:123" ht="22.5">
      <c r="A4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8.3</v>
      </c>
      <c r="B48" s="137" t="s">
        <v>81</v>
      </c>
      <c r="C48" s="139" t="s">
        <v>22</v>
      </c>
      <c r="D48" s="185" t="s">
        <v>82</v>
      </c>
      <c r="E48" s="133">
        <v>46149</v>
      </c>
      <c r="F48" s="125">
        <f>IF(ISBLANK(E48)," - ",IF(G48=0,E48,E48+G48-1))</f>
        <v>46149</v>
      </c>
      <c r="G48" s="134">
        <v>1</v>
      </c>
      <c r="H48" s="135">
        <v>0</v>
      </c>
      <c r="I48" s="90">
        <f>IF(OR(F48=0,E48=0),0,NETWORKDAYS(E48,F48))</f>
        <v>1</v>
      </c>
      <c r="J48" s="8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row>
    <row r="49" spans="1:92" ht="15">
      <c r="A49" s="141">
        <v>9</v>
      </c>
      <c r="B49" s="77" t="s">
        <v>83</v>
      </c>
      <c r="C49" s="31"/>
      <c r="D49" s="187"/>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row>
    <row r="50" spans="1:92" ht="22.5">
      <c r="A5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9.1</v>
      </c>
      <c r="B50" s="137" t="s">
        <v>84</v>
      </c>
      <c r="C50" s="139" t="s">
        <v>22</v>
      </c>
      <c r="D50" s="185" t="s">
        <v>85</v>
      </c>
      <c r="E50" s="133">
        <v>46149</v>
      </c>
      <c r="F50" s="125">
        <f>IF(ISBLANK(E50)," - ",IF(G50=0,E50,E50+G50-1))</f>
        <v>46149</v>
      </c>
      <c r="G50" s="134">
        <v>1</v>
      </c>
      <c r="H50" s="135">
        <v>0</v>
      </c>
      <c r="I50" s="90">
        <f>IF(OR(F50=0,E50=0),0,NETWORKDAYS(E50,F50))</f>
        <v>1</v>
      </c>
      <c r="J50" s="8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row>
    <row r="51" spans="1:92" ht="22.5">
      <c r="A5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9.2</v>
      </c>
      <c r="B51" s="137" t="s">
        <v>86</v>
      </c>
      <c r="C51" s="139" t="s">
        <v>19</v>
      </c>
      <c r="D51" s="185" t="s">
        <v>87</v>
      </c>
      <c r="E51" s="133">
        <v>46149</v>
      </c>
      <c r="F51" s="125">
        <f t="shared" ref="F51:F52" si="27">IF(ISBLANK(E51)," - ",IF(G51=0,E51,E51+G51-1))</f>
        <v>46150</v>
      </c>
      <c r="G51" s="134">
        <v>2</v>
      </c>
      <c r="H51" s="135">
        <v>0</v>
      </c>
      <c r="I51" s="90">
        <f>IF(OR(F51=0,E51=0),0,NETWORKDAYS(E51,F51))</f>
        <v>2</v>
      </c>
      <c r="J51" s="8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row>
    <row r="52" spans="1:92" ht="18">
      <c r="A5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9.3</v>
      </c>
      <c r="B52" s="137" t="s">
        <v>88</v>
      </c>
      <c r="C52" s="136" t="s">
        <v>7</v>
      </c>
      <c r="D52" s="185" t="s">
        <v>89</v>
      </c>
      <c r="E52" s="133">
        <v>46150</v>
      </c>
      <c r="F52" s="125">
        <f>IF(ISBLANK(E52)," - ",IF(G52=0,E52,E52+G52-1))</f>
        <v>46150</v>
      </c>
      <c r="G52" s="134">
        <v>1</v>
      </c>
      <c r="H52" s="135">
        <v>0</v>
      </c>
      <c r="I52" s="90">
        <f>IF(OR(F52=0,E52=0),0,NETWORKDAYS(E52,F52))</f>
        <v>1</v>
      </c>
      <c r="J52" s="8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row>
    <row r="53" spans="1:92">
      <c r="A53" s="80"/>
    </row>
  </sheetData>
  <sheetProtection formatCells="0" formatColumns="0" formatRows="0" insertColumns="0" insertRows="0" deleteColumns="0" deleteRows="0" sort="0" autoFilter="0"/>
  <mergeCells count="21">
    <mergeCell ref="BO4:BU4"/>
    <mergeCell ref="BO5:BU5"/>
    <mergeCell ref="BH4:BN4"/>
    <mergeCell ref="BH5:BN5"/>
    <mergeCell ref="AM5:AS5"/>
    <mergeCell ref="AT4:AZ4"/>
    <mergeCell ref="AT5:AZ5"/>
    <mergeCell ref="AM4:AS4"/>
    <mergeCell ref="BA4:BG4"/>
    <mergeCell ref="BA5:BG5"/>
    <mergeCell ref="AD1:AR1"/>
    <mergeCell ref="AF4:AL4"/>
    <mergeCell ref="AF5:AL5"/>
    <mergeCell ref="R4:X4"/>
    <mergeCell ref="C5:E5"/>
    <mergeCell ref="K4:Q4"/>
    <mergeCell ref="C4:E4"/>
    <mergeCell ref="R5:X5"/>
    <mergeCell ref="K5:Q5"/>
    <mergeCell ref="Y4:AE4"/>
    <mergeCell ref="Y5:AE5"/>
  </mergeCells>
  <phoneticPr fontId="3" type="noConversion"/>
  <conditionalFormatting sqref="H8:H28">
    <cfRule type="dataBar" priority="52">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cfRule type="expression" dxfId="10" priority="89">
      <formula>K$6=TODAY()</formula>
    </cfRule>
  </conditionalFormatting>
  <conditionalFormatting sqref="K8:BU39 K41:BU44 K46:BU48 K50:BU52">
    <cfRule type="expression" dxfId="9" priority="92">
      <formula>AND($E8&lt;=K$6,ROUNDDOWN(($F8-$E8+1)*$H8,0)+$E8-1&gt;=K$6)</formula>
    </cfRule>
    <cfRule type="expression" dxfId="8" priority="93">
      <formula>AND(NOT(ISBLANK($E8)),$E8&lt;=K$6,$F8&gt;=K$6)</formula>
    </cfRule>
  </conditionalFormatting>
  <conditionalFormatting sqref="K6:BU28 K41:BU44">
    <cfRule type="expression" dxfId="7" priority="46">
      <formula>K$6=TODAY()</formula>
    </cfRule>
  </conditionalFormatting>
  <conditionalFormatting sqref="H29:H33">
    <cfRule type="dataBar" priority="41">
      <dataBar>
        <cfvo type="num" val="0"/>
        <cfvo type="num" val="1"/>
        <color theme="0" tint="-0.249977111117893"/>
      </dataBar>
      <extLst>
        <ext xmlns:x14="http://schemas.microsoft.com/office/spreadsheetml/2009/9/main" uri="{B025F937-C7B1-47D3-B67F-A62EFF666E3E}">
          <x14:id>{D04B9FE8-C329-4F65-B21B-4E24C0158713}</x14:id>
        </ext>
      </extLst>
    </cfRule>
  </conditionalFormatting>
  <conditionalFormatting sqref="K29:BN33">
    <cfRule type="expression" dxfId="6" priority="40">
      <formula>K$6=TODAY()</formula>
    </cfRule>
  </conditionalFormatting>
  <conditionalFormatting sqref="H34:H39">
    <cfRule type="dataBar" priority="39">
      <dataBar>
        <cfvo type="num" val="0"/>
        <cfvo type="num" val="1"/>
        <color theme="0" tint="-0.249977111117893"/>
      </dataBar>
      <extLst>
        <ext xmlns:x14="http://schemas.microsoft.com/office/spreadsheetml/2009/9/main" uri="{B025F937-C7B1-47D3-B67F-A62EFF666E3E}">
          <x14:id>{E6FC1D30-4327-404E-8395-7DEC72ED77BA}</x14:id>
        </ext>
      </extLst>
    </cfRule>
  </conditionalFormatting>
  <conditionalFormatting sqref="K34:BN39">
    <cfRule type="expression" dxfId="5" priority="36">
      <formula>K$6=TODAY()</formula>
    </cfRule>
  </conditionalFormatting>
  <conditionalFormatting sqref="BO6:BT7">
    <cfRule type="expression" dxfId="4" priority="24">
      <formula>BO$6=TODAY()</formula>
    </cfRule>
  </conditionalFormatting>
  <conditionalFormatting sqref="BO29:BU33">
    <cfRule type="expression" dxfId="3" priority="20">
      <formula>BO$6=TODAY()</formula>
    </cfRule>
  </conditionalFormatting>
  <conditionalFormatting sqref="BO34:BU39">
    <cfRule type="expression" dxfId="2" priority="18">
      <formula>BO$6=TODAY()</formula>
    </cfRule>
  </conditionalFormatting>
  <conditionalFormatting sqref="H41:H44">
    <cfRule type="dataBar" priority="9">
      <dataBar>
        <cfvo type="num" val="0"/>
        <cfvo type="num" val="1"/>
        <color theme="0" tint="-0.249977111117893"/>
      </dataBar>
      <extLst>
        <ext xmlns:x14="http://schemas.microsoft.com/office/spreadsheetml/2009/9/main" uri="{B025F937-C7B1-47D3-B67F-A62EFF666E3E}">
          <x14:id>{9625F326-6EBC-4BB9-9ADF-A46FF193E415}</x14:id>
        </ext>
      </extLst>
    </cfRule>
  </conditionalFormatting>
  <conditionalFormatting sqref="K46:BU48">
    <cfRule type="expression" dxfId="1" priority="6">
      <formula>K$6=TODAY()</formula>
    </cfRule>
  </conditionalFormatting>
  <conditionalFormatting sqref="H46:H48">
    <cfRule type="dataBar" priority="5">
      <dataBar>
        <cfvo type="num" val="0"/>
        <cfvo type="num" val="1"/>
        <color theme="0" tint="-0.249977111117893"/>
      </dataBar>
      <extLst>
        <ext xmlns:x14="http://schemas.microsoft.com/office/spreadsheetml/2009/9/main" uri="{B025F937-C7B1-47D3-B67F-A62EFF666E3E}">
          <x14:id>{F41FBF17-553F-4BDC-9169-863FB659CABA}</x14:id>
        </ext>
      </extLst>
    </cfRule>
  </conditionalFormatting>
  <conditionalFormatting sqref="K50:BU52">
    <cfRule type="expression" dxfId="0" priority="2">
      <formula>K$6=TODAY()</formula>
    </cfRule>
  </conditionalFormatting>
  <conditionalFormatting sqref="H50:H52">
    <cfRule type="dataBar" priority="1">
      <dataBar>
        <cfvo type="num" val="0"/>
        <cfvo type="num" val="1"/>
        <color theme="0" tint="-0.249977111117893"/>
      </dataBar>
      <extLst>
        <ext xmlns:x14="http://schemas.microsoft.com/office/spreadsheetml/2009/9/main" uri="{B025F937-C7B1-47D3-B67F-A62EFF666E3E}">
          <x14:id>{745799BB-278D-41E4-899C-4200014BFAC5}</x14:id>
        </ext>
      </extLst>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hyperlinks>
    <hyperlink ref="AD1:AR1" r:id="rId1" display="Learn about the Pro version" xr:uid="{00000000-0004-0000-0000-000000000000}"/>
  </hyperlinks>
  <pageMargins left="0.25" right="0.25" top="0.5" bottom="0.5" header="0.5" footer="0.25"/>
  <pageSetup scale="61" fitToHeight="0" orientation="landscape" r:id="rId2"/>
  <headerFooter alignWithMargins="0"/>
  <ignoredErrors>
    <ignoredError sqref="F13 F19 F24 I14 I9:I12 H15:I15 H13:I13 H19:I19 H23:I28 H17:I17 I16 I20:I22" unlockedFormula="1"/>
    <ignoredError sqref="A24 A19 A13"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10</xdr:col>
                    <xdr:colOff>9525</xdr:colOff>
                    <xdr:row>1</xdr:row>
                    <xdr:rowOff>38100</xdr:rowOff>
                  </from>
                  <to>
                    <xdr:col>28</xdr:col>
                    <xdr:colOff>95250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H8:H28</xm:sqref>
        </x14:conditionalFormatting>
        <x14:conditionalFormatting xmlns:xm="http://schemas.microsoft.com/office/excel/2006/main">
          <x14:cfRule type="dataBar" id="{D04B9FE8-C329-4F65-B21B-4E24C0158713}">
            <x14:dataBar minLength="0" maxLength="100" gradient="0">
              <x14:cfvo type="num">
                <xm:f>0</xm:f>
              </x14:cfvo>
              <x14:cfvo type="num">
                <xm:f>1</xm:f>
              </x14:cfvo>
              <x14:negativeFillColor rgb="FFFF0000"/>
              <x14:axisColor rgb="FF000000"/>
            </x14:dataBar>
          </x14:cfRule>
          <xm:sqref>H29:H33</xm:sqref>
        </x14:conditionalFormatting>
        <x14:conditionalFormatting xmlns:xm="http://schemas.microsoft.com/office/excel/2006/main">
          <x14:cfRule type="dataBar" id="{E6FC1D30-4327-404E-8395-7DEC72ED77BA}">
            <x14:dataBar minLength="0" maxLength="100" gradient="0">
              <x14:cfvo type="num">
                <xm:f>0</xm:f>
              </x14:cfvo>
              <x14:cfvo type="num">
                <xm:f>1</xm:f>
              </x14:cfvo>
              <x14:negativeFillColor rgb="FFFF0000"/>
              <x14:axisColor rgb="FF000000"/>
            </x14:dataBar>
          </x14:cfRule>
          <xm:sqref>H34:H39</xm:sqref>
        </x14:conditionalFormatting>
        <x14:conditionalFormatting xmlns:xm="http://schemas.microsoft.com/office/excel/2006/main">
          <x14:cfRule type="dataBar" id="{9625F326-6EBC-4BB9-9ADF-A46FF193E415}">
            <x14:dataBar minLength="0" maxLength="100" gradient="0">
              <x14:cfvo type="num">
                <xm:f>0</xm:f>
              </x14:cfvo>
              <x14:cfvo type="num">
                <xm:f>1</xm:f>
              </x14:cfvo>
              <x14:negativeFillColor rgb="FFFF0000"/>
              <x14:axisColor rgb="FF000000"/>
            </x14:dataBar>
          </x14:cfRule>
          <xm:sqref>H41:H44</xm:sqref>
        </x14:conditionalFormatting>
        <x14:conditionalFormatting xmlns:xm="http://schemas.microsoft.com/office/excel/2006/main">
          <x14:cfRule type="dataBar" id="{F41FBF17-553F-4BDC-9169-863FB659CABA}">
            <x14:dataBar minLength="0" maxLength="100" gradient="0">
              <x14:cfvo type="num">
                <xm:f>0</xm:f>
              </x14:cfvo>
              <x14:cfvo type="num">
                <xm:f>1</xm:f>
              </x14:cfvo>
              <x14:negativeFillColor rgb="FFFF0000"/>
              <x14:axisColor rgb="FF000000"/>
            </x14:dataBar>
          </x14:cfRule>
          <xm:sqref>H46:H48</xm:sqref>
        </x14:conditionalFormatting>
        <x14:conditionalFormatting xmlns:xm="http://schemas.microsoft.com/office/excel/2006/main">
          <x14:cfRule type="dataBar" id="{745799BB-278D-41E4-899C-4200014BFAC5}">
            <x14:dataBar minLength="0" maxLength="100" gradient="0">
              <x14:cfvo type="num">
                <xm:f>0</xm:f>
              </x14:cfvo>
              <x14:cfvo type="num">
                <xm:f>1</xm:f>
              </x14:cfvo>
              <x14:negativeFillColor rgb="FFFF0000"/>
              <x14:axisColor rgb="FF000000"/>
            </x14:dataBar>
          </x14:cfRule>
          <xm:sqref>H50:H52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D93"/>
  <sheetViews>
    <sheetView showGridLines="0" topLeftCell="A81" workbookViewId="0">
      <selection activeCell="A3" sqref="A3"/>
    </sheetView>
  </sheetViews>
  <sheetFormatPr defaultColWidth="8.85546875" defaultRowHeight="12.75"/>
  <cols>
    <col min="1" max="1" width="5.5703125" style="1" customWidth="1"/>
    <col min="2" max="2" width="90.42578125" style="1" customWidth="1"/>
    <col min="3" max="3" width="16.42578125" style="1" bestFit="1" customWidth="1"/>
    <col min="4" max="16384" width="8.85546875" style="1"/>
  </cols>
  <sheetData>
    <row r="1" spans="1:4" ht="30" customHeight="1">
      <c r="A1" s="20" t="s">
        <v>90</v>
      </c>
      <c r="B1" s="21"/>
    </row>
    <row r="2" spans="1:4" ht="14.25">
      <c r="A2" s="102" t="s">
        <v>91</v>
      </c>
      <c r="B2" s="2"/>
    </row>
    <row r="3" spans="1:4">
      <c r="B3" s="2"/>
    </row>
    <row r="4" spans="1:4" ht="18">
      <c r="A4" s="103" t="s">
        <v>92</v>
      </c>
      <c r="B4" s="14"/>
    </row>
    <row r="5" spans="1:4" ht="57">
      <c r="B5" s="104" t="s">
        <v>93</v>
      </c>
    </row>
    <row r="7" spans="1:4" ht="28.5">
      <c r="B7" s="104" t="s">
        <v>94</v>
      </c>
    </row>
    <row r="9" spans="1:4" ht="14.25">
      <c r="B9" s="102" t="s">
        <v>95</v>
      </c>
    </row>
    <row r="11" spans="1:4" ht="28.5">
      <c r="B11" s="105" t="s">
        <v>96</v>
      </c>
    </row>
    <row r="13" spans="1:4" ht="18">
      <c r="A13" s="181" t="s">
        <v>97</v>
      </c>
      <c r="B13" s="181"/>
    </row>
    <row r="15" spans="1:4" ht="18">
      <c r="A15" s="106"/>
      <c r="B15" s="107" t="s">
        <v>98</v>
      </c>
      <c r="C15" s="108"/>
      <c r="D15" s="108"/>
    </row>
    <row r="16" spans="1:4" ht="18">
      <c r="A16" s="106"/>
      <c r="B16" s="107" t="s">
        <v>99</v>
      </c>
      <c r="C16" s="108"/>
      <c r="D16" s="108"/>
    </row>
    <row r="17" spans="1:2" ht="18">
      <c r="A17" s="109"/>
      <c r="B17" s="107" t="s">
        <v>100</v>
      </c>
    </row>
    <row r="18" spans="1:2" ht="18">
      <c r="A18" s="109"/>
      <c r="B18" s="107" t="s">
        <v>101</v>
      </c>
    </row>
    <row r="19" spans="1:2" ht="28.5">
      <c r="A19" s="109"/>
      <c r="B19" s="107" t="s">
        <v>102</v>
      </c>
    </row>
    <row r="20" spans="1:2" ht="18">
      <c r="A20" s="109"/>
      <c r="B20" s="107" t="s">
        <v>103</v>
      </c>
    </row>
    <row r="21" spans="1:2" ht="18">
      <c r="A21" s="109"/>
      <c r="B21" s="110" t="s">
        <v>104</v>
      </c>
    </row>
    <row r="22" spans="1:2" ht="18">
      <c r="A22" s="109"/>
      <c r="B22" s="3"/>
    </row>
    <row r="23" spans="1:2" ht="18">
      <c r="A23" s="181" t="s">
        <v>105</v>
      </c>
      <c r="B23" s="181"/>
    </row>
    <row r="24" spans="1:2" ht="43.5">
      <c r="A24" s="109"/>
      <c r="B24" s="107" t="s">
        <v>106</v>
      </c>
    </row>
    <row r="25" spans="1:2" ht="18">
      <c r="A25" s="109"/>
      <c r="B25" s="107"/>
    </row>
    <row r="26" spans="1:2" ht="18">
      <c r="A26" s="109"/>
      <c r="B26" s="111" t="s">
        <v>107</v>
      </c>
    </row>
    <row r="27" spans="1:2" ht="18">
      <c r="A27" s="109"/>
      <c r="B27" s="107" t="s">
        <v>108</v>
      </c>
    </row>
    <row r="28" spans="1:2" ht="28.5">
      <c r="A28" s="109"/>
      <c r="B28" s="107" t="s">
        <v>109</v>
      </c>
    </row>
    <row r="29" spans="1:2" ht="18">
      <c r="A29" s="109"/>
      <c r="B29" s="107"/>
    </row>
    <row r="30" spans="1:2" ht="18">
      <c r="A30" s="109"/>
      <c r="B30" s="111" t="s">
        <v>110</v>
      </c>
    </row>
    <row r="31" spans="1:2" ht="18">
      <c r="A31" s="109"/>
      <c r="B31" s="107" t="s">
        <v>111</v>
      </c>
    </row>
    <row r="32" spans="1:2" ht="18">
      <c r="A32" s="109"/>
      <c r="B32" s="107" t="s">
        <v>112</v>
      </c>
    </row>
    <row r="33" spans="1:2" ht="18">
      <c r="A33" s="109"/>
      <c r="B33" s="3"/>
    </row>
    <row r="34" spans="1:2" ht="28.5">
      <c r="A34" s="109"/>
      <c r="B34" s="107" t="s">
        <v>113</v>
      </c>
    </row>
    <row r="35" spans="1:2" ht="18">
      <c r="A35" s="109"/>
      <c r="B35" s="112" t="s">
        <v>114</v>
      </c>
    </row>
    <row r="36" spans="1:2" ht="18">
      <c r="A36" s="109"/>
      <c r="B36" s="3"/>
    </row>
    <row r="37" spans="1:2" ht="18">
      <c r="A37" s="181" t="s">
        <v>115</v>
      </c>
      <c r="B37" s="181"/>
    </row>
    <row r="38" spans="1:2" ht="28.5">
      <c r="B38" s="107" t="s">
        <v>116</v>
      </c>
    </row>
    <row r="40" spans="1:2" ht="14.25">
      <c r="B40" s="107" t="s">
        <v>117</v>
      </c>
    </row>
    <row r="42" spans="1:2" ht="28.5">
      <c r="B42" s="107" t="s">
        <v>118</v>
      </c>
    </row>
    <row r="44" spans="1:2" ht="28.5">
      <c r="B44" s="107" t="s">
        <v>119</v>
      </c>
    </row>
    <row r="45" spans="1:2">
      <c r="B45" s="10"/>
    </row>
    <row r="46" spans="1:2" ht="28.5">
      <c r="B46" s="107" t="s">
        <v>120</v>
      </c>
    </row>
    <row r="48" spans="1:2" ht="18">
      <c r="A48" s="181" t="s">
        <v>121</v>
      </c>
      <c r="B48" s="181"/>
    </row>
    <row r="49" spans="1:2" ht="28.5">
      <c r="B49" s="107" t="s">
        <v>122</v>
      </c>
    </row>
    <row r="51" spans="1:2" ht="14.25">
      <c r="A51" s="113" t="s">
        <v>123</v>
      </c>
      <c r="B51" s="107" t="s">
        <v>124</v>
      </c>
    </row>
    <row r="52" spans="1:2" ht="14.25">
      <c r="A52" s="113" t="s">
        <v>125</v>
      </c>
      <c r="B52" s="107" t="s">
        <v>126</v>
      </c>
    </row>
    <row r="53" spans="1:2" ht="14.25">
      <c r="A53" s="113" t="s">
        <v>127</v>
      </c>
      <c r="B53" s="107" t="s">
        <v>128</v>
      </c>
    </row>
    <row r="54" spans="1:2" ht="28.5">
      <c r="A54" s="105"/>
      <c r="B54" s="107" t="s">
        <v>129</v>
      </c>
    </row>
    <row r="55" spans="1:2" ht="28.5">
      <c r="A55" s="105"/>
      <c r="B55" s="107" t="s">
        <v>130</v>
      </c>
    </row>
    <row r="56" spans="1:2" ht="14.25">
      <c r="A56" s="113" t="s">
        <v>131</v>
      </c>
      <c r="B56" s="107" t="s">
        <v>132</v>
      </c>
    </row>
    <row r="57" spans="1:2" ht="14.25">
      <c r="A57" s="105"/>
      <c r="B57" s="107" t="s">
        <v>133</v>
      </c>
    </row>
    <row r="58" spans="1:2" ht="14.25">
      <c r="A58" s="105"/>
      <c r="B58" s="107" t="s">
        <v>134</v>
      </c>
    </row>
    <row r="59" spans="1:2" ht="14.25">
      <c r="A59" s="113" t="s">
        <v>135</v>
      </c>
      <c r="B59" s="107" t="s">
        <v>136</v>
      </c>
    </row>
    <row r="60" spans="1:2" ht="28.5">
      <c r="A60" s="105"/>
      <c r="B60" s="107" t="s">
        <v>137</v>
      </c>
    </row>
    <row r="61" spans="1:2" ht="14.25">
      <c r="A61" s="113" t="s">
        <v>138</v>
      </c>
      <c r="B61" s="107" t="s">
        <v>139</v>
      </c>
    </row>
    <row r="62" spans="1:2" ht="14.25">
      <c r="A62" s="114"/>
      <c r="B62" s="107" t="s">
        <v>140</v>
      </c>
    </row>
    <row r="63" spans="1:2">
      <c r="B63" s="4"/>
    </row>
    <row r="64" spans="1:2" ht="18">
      <c r="A64" s="181" t="s">
        <v>141</v>
      </c>
      <c r="B64" s="181"/>
    </row>
    <row r="65" spans="1:2" ht="42.75">
      <c r="B65" s="107" t="s">
        <v>142</v>
      </c>
    </row>
    <row r="67" spans="1:2" ht="18">
      <c r="A67" s="181" t="s">
        <v>143</v>
      </c>
      <c r="B67" s="181"/>
    </row>
    <row r="68" spans="1:2" ht="15">
      <c r="A68" s="115" t="s">
        <v>144</v>
      </c>
      <c r="B68" s="116" t="s">
        <v>145</v>
      </c>
    </row>
    <row r="69" spans="1:2" ht="28.5">
      <c r="A69" s="114"/>
      <c r="B69" s="117" t="s">
        <v>146</v>
      </c>
    </row>
    <row r="70" spans="1:2" ht="14.25">
      <c r="A70" s="114"/>
      <c r="B70" s="118"/>
    </row>
    <row r="71" spans="1:2" ht="15">
      <c r="A71" s="115" t="s">
        <v>144</v>
      </c>
      <c r="B71" s="116" t="s">
        <v>147</v>
      </c>
    </row>
    <row r="72" spans="1:2" ht="28.5">
      <c r="A72" s="114"/>
      <c r="B72" s="117" t="s">
        <v>148</v>
      </c>
    </row>
    <row r="73" spans="1:2" ht="14.25">
      <c r="A73" s="114"/>
      <c r="B73" s="118"/>
    </row>
    <row r="74" spans="1:2" ht="15">
      <c r="A74" s="115" t="s">
        <v>144</v>
      </c>
      <c r="B74" s="119" t="s">
        <v>149</v>
      </c>
    </row>
    <row r="75" spans="1:2" ht="42.75">
      <c r="A75" s="114"/>
      <c r="B75" s="104" t="s">
        <v>150</v>
      </c>
    </row>
    <row r="76" spans="1:2" ht="14.25">
      <c r="A76" s="114"/>
      <c r="B76" s="114"/>
    </row>
    <row r="77" spans="1:2" ht="15">
      <c r="A77" s="115" t="s">
        <v>144</v>
      </c>
      <c r="B77" s="119" t="s">
        <v>151</v>
      </c>
    </row>
    <row r="78" spans="1:2" ht="28.5">
      <c r="A78" s="114"/>
      <c r="B78" s="104" t="s">
        <v>152</v>
      </c>
    </row>
    <row r="79" spans="1:2" ht="14.25">
      <c r="A79" s="114"/>
      <c r="B79" s="114"/>
    </row>
    <row r="80" spans="1:2" ht="15">
      <c r="A80" s="115" t="s">
        <v>144</v>
      </c>
      <c r="B80" s="119" t="s">
        <v>153</v>
      </c>
    </row>
    <row r="81" spans="1:2" ht="14.25">
      <c r="A81" s="114"/>
      <c r="B81" s="120" t="s">
        <v>154</v>
      </c>
    </row>
    <row r="82" spans="1:2" ht="14.25">
      <c r="A82" s="114"/>
      <c r="B82" s="120" t="s">
        <v>155</v>
      </c>
    </row>
    <row r="83" spans="1:2" ht="14.25">
      <c r="A83" s="114"/>
      <c r="B83" s="120" t="s">
        <v>156</v>
      </c>
    </row>
    <row r="84" spans="1:2" ht="15">
      <c r="A84" s="114"/>
      <c r="B84" s="121"/>
    </row>
    <row r="85" spans="1:2" ht="15">
      <c r="A85" s="115" t="s">
        <v>144</v>
      </c>
      <c r="B85" s="119" t="s">
        <v>157</v>
      </c>
    </row>
    <row r="86" spans="1:2" ht="42.75">
      <c r="A86" s="114"/>
      <c r="B86" s="104" t="s">
        <v>158</v>
      </c>
    </row>
    <row r="87" spans="1:2" ht="14.25">
      <c r="A87" s="114"/>
      <c r="B87" s="122" t="s">
        <v>159</v>
      </c>
    </row>
    <row r="88" spans="1:2" ht="57">
      <c r="A88" s="114"/>
      <c r="B88" s="123" t="s">
        <v>160</v>
      </c>
    </row>
    <row r="89" spans="1:2" ht="14.25">
      <c r="A89" s="114"/>
      <c r="B89" s="114"/>
    </row>
    <row r="90" spans="1:2" ht="15">
      <c r="A90" s="115" t="s">
        <v>144</v>
      </c>
      <c r="B90" s="119" t="s">
        <v>161</v>
      </c>
    </row>
    <row r="91" spans="1:2" ht="28.5">
      <c r="A91" s="105"/>
      <c r="B91" s="120" t="s">
        <v>162</v>
      </c>
    </row>
    <row r="93" spans="1:2">
      <c r="A93" s="15" t="s">
        <v>163</v>
      </c>
    </row>
  </sheetData>
  <mergeCells count="6">
    <mergeCell ref="A67:B67"/>
    <mergeCell ref="A23:B23"/>
    <mergeCell ref="A13:B13"/>
    <mergeCell ref="A37:B37"/>
    <mergeCell ref="A48:B48"/>
    <mergeCell ref="A64:B64"/>
  </mergeCells>
  <phoneticPr fontId="3" type="noConversion"/>
  <hyperlinks>
    <hyperlink ref="B9" r:id="rId1" xr:uid="{00000000-0004-0000-0100-000000000000}"/>
    <hyperlink ref="A2" r:id="rId2" xr:uid="{00000000-0004-0000-0100-000001000000}"/>
    <hyperlink ref="B35" r:id="rId3" xr:uid="{00000000-0004-0000-0100-000002000000}"/>
  </hyperlinks>
  <pageMargins left="0.5" right="0.5" top="0.25" bottom="0.25" header="0.5" footer="0.5"/>
  <pageSetup orientation="portrait"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C46"/>
  <sheetViews>
    <sheetView showGridLines="0" workbookViewId="0">
      <selection activeCell="A2" sqref="A2"/>
    </sheetView>
  </sheetViews>
  <sheetFormatPr defaultRowHeight="12.75"/>
  <cols>
    <col min="1" max="1" width="5.5703125" customWidth="1"/>
    <col min="2" max="2" width="37.7109375" customWidth="1"/>
    <col min="3" max="3" width="55.140625" customWidth="1"/>
    <col min="4" max="7" width="8.85546875"/>
  </cols>
  <sheetData>
    <row r="1" spans="1:3" ht="30" customHeight="1">
      <c r="A1" s="16" t="s">
        <v>164</v>
      </c>
    </row>
    <row r="4" spans="1:3">
      <c r="C4" s="3" t="s">
        <v>165</v>
      </c>
    </row>
    <row r="5" spans="1:3">
      <c r="C5" s="1" t="s">
        <v>166</v>
      </c>
    </row>
    <row r="6" spans="1:3">
      <c r="C6" s="1"/>
    </row>
    <row r="7" spans="1:3" ht="18">
      <c r="C7" s="11" t="s">
        <v>167</v>
      </c>
    </row>
    <row r="8" spans="1:3">
      <c r="C8" s="12" t="s">
        <v>91</v>
      </c>
    </row>
    <row r="10" spans="1:3">
      <c r="C10" s="1" t="s">
        <v>168</v>
      </c>
    </row>
    <row r="11" spans="1:3">
      <c r="C11" s="1" t="s">
        <v>169</v>
      </c>
    </row>
    <row r="13" spans="1:3" ht="18">
      <c r="C13" s="11" t="s">
        <v>170</v>
      </c>
    </row>
    <row r="16" spans="1:3" ht="15.75">
      <c r="A16" s="14" t="s">
        <v>171</v>
      </c>
    </row>
    <row r="18" spans="2:2" ht="15">
      <c r="B18" s="13" t="s">
        <v>172</v>
      </c>
    </row>
    <row r="19" spans="2:2">
      <c r="B19" s="1" t="s">
        <v>173</v>
      </c>
    </row>
    <row r="20" spans="2:2">
      <c r="B20" s="1" t="s">
        <v>174</v>
      </c>
    </row>
    <row r="22" spans="2:2" ht="15">
      <c r="B22" s="13" t="s">
        <v>175</v>
      </c>
    </row>
    <row r="23" spans="2:2">
      <c r="B23" s="1" t="s">
        <v>176</v>
      </c>
    </row>
    <row r="24" spans="2:2">
      <c r="B24" s="1" t="s">
        <v>177</v>
      </c>
    </row>
    <row r="26" spans="2:2" ht="15">
      <c r="B26" s="13" t="s">
        <v>178</v>
      </c>
    </row>
    <row r="27" spans="2:2">
      <c r="B27" s="1" t="s">
        <v>179</v>
      </c>
    </row>
    <row r="28" spans="2:2">
      <c r="B28" s="1" t="s">
        <v>180</v>
      </c>
    </row>
    <row r="29" spans="2:2">
      <c r="B29" s="1" t="s">
        <v>181</v>
      </c>
    </row>
    <row r="30" spans="2:2">
      <c r="B30" t="s">
        <v>182</v>
      </c>
    </row>
    <row r="31" spans="2:2">
      <c r="B31" t="s">
        <v>183</v>
      </c>
    </row>
    <row r="32" spans="2:2">
      <c r="B32" t="s">
        <v>184</v>
      </c>
    </row>
    <row r="34" spans="2:2" ht="15">
      <c r="B34" s="13" t="s">
        <v>185</v>
      </c>
    </row>
    <row r="35" spans="2:2">
      <c r="B35" s="1" t="s">
        <v>186</v>
      </c>
    </row>
    <row r="36" spans="2:2">
      <c r="B36" s="1" t="s">
        <v>187</v>
      </c>
    </row>
    <row r="37" spans="2:2">
      <c r="B37" s="1" t="s">
        <v>188</v>
      </c>
    </row>
    <row r="39" spans="2:2" ht="15">
      <c r="B39" s="13" t="s">
        <v>189</v>
      </c>
    </row>
    <row r="40" spans="2:2">
      <c r="B40" s="1" t="s">
        <v>190</v>
      </c>
    </row>
    <row r="42" spans="2:2" ht="15">
      <c r="B42" s="13" t="s">
        <v>191</v>
      </c>
    </row>
    <row r="43" spans="2:2">
      <c r="B43" s="1" t="s">
        <v>192</v>
      </c>
    </row>
    <row r="44" spans="2:2">
      <c r="B44" s="1" t="s">
        <v>193</v>
      </c>
    </row>
    <row r="46" spans="2:2" ht="18">
      <c r="B46" s="11" t="s">
        <v>194</v>
      </c>
    </row>
  </sheetData>
  <hyperlinks>
    <hyperlink ref="C7" r:id="rId1" xr:uid="{00000000-0004-0000-0200-000000000000}"/>
    <hyperlink ref="C13" r:id="rId2" display="https://www.vertex42.com/blog/business/pm/new-gantt-chart-for-excel-online.html" xr:uid="{00000000-0004-0000-0200-000001000000}"/>
    <hyperlink ref="B46" r:id="rId3" tooltip="Go to Vertex42.com" display="https://www.vertex42.com/Links/go.php?urlid=GanttChartPro" xr:uid="{00000000-0004-0000-0200-000002000000}"/>
  </hyperlinks>
  <pageMargins left="0.7" right="0.7" top="0.75" bottom="0.75" header="0.3" footer="0.3"/>
  <pageSetup scale="93"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C29"/>
  <sheetViews>
    <sheetView showGridLines="0" workbookViewId="0">
      <selection activeCell="A2" sqref="A2"/>
    </sheetView>
  </sheetViews>
  <sheetFormatPr defaultColWidth="8.85546875" defaultRowHeight="12.75"/>
  <cols>
    <col min="1" max="1" width="5.5703125" style="1" customWidth="1"/>
    <col min="2" max="2" width="82.140625" style="1" customWidth="1"/>
  </cols>
  <sheetData>
    <row r="1" spans="1:3" ht="30" customHeight="1">
      <c r="A1" s="20" t="s">
        <v>195</v>
      </c>
      <c r="B1" s="20"/>
    </row>
    <row r="2" spans="1:3" ht="15">
      <c r="B2" s="24"/>
    </row>
    <row r="3" spans="1:3" ht="15">
      <c r="A3" s="22"/>
      <c r="B3" s="17" t="s">
        <v>196</v>
      </c>
      <c r="C3" s="23"/>
    </row>
    <row r="4" spans="1:3" ht="14.25">
      <c r="A4" s="5"/>
      <c r="B4" s="19" t="s">
        <v>91</v>
      </c>
      <c r="C4" s="6"/>
    </row>
    <row r="5" spans="1:3" ht="15">
      <c r="A5" s="5"/>
      <c r="B5" s="7"/>
      <c r="C5" s="6"/>
    </row>
    <row r="6" spans="1:3" ht="15.75">
      <c r="A6" s="5"/>
      <c r="B6" s="8" t="s">
        <v>163</v>
      </c>
      <c r="C6" s="6"/>
    </row>
    <row r="7" spans="1:3" ht="15">
      <c r="A7" s="5"/>
      <c r="B7" s="7"/>
      <c r="C7" s="6"/>
    </row>
    <row r="8" spans="1:3" ht="30">
      <c r="A8" s="5"/>
      <c r="B8" s="7" t="s">
        <v>197</v>
      </c>
      <c r="C8" s="6"/>
    </row>
    <row r="9" spans="1:3" ht="15">
      <c r="A9" s="5"/>
      <c r="B9" s="7"/>
      <c r="C9" s="6"/>
    </row>
    <row r="10" spans="1:3" ht="46.5">
      <c r="A10" s="5"/>
      <c r="B10" s="7" t="s">
        <v>198</v>
      </c>
      <c r="C10" s="6"/>
    </row>
    <row r="11" spans="1:3" ht="15">
      <c r="A11" s="5"/>
      <c r="B11" s="7"/>
      <c r="C11" s="6"/>
    </row>
    <row r="12" spans="1:3" ht="45">
      <c r="A12" s="5"/>
      <c r="B12" s="7" t="s">
        <v>199</v>
      </c>
      <c r="C12" s="6"/>
    </row>
    <row r="13" spans="1:3" ht="15">
      <c r="A13" s="5"/>
      <c r="B13" s="7"/>
      <c r="C13" s="6"/>
    </row>
    <row r="14" spans="1:3" ht="60">
      <c r="A14" s="5"/>
      <c r="B14" s="7" t="s">
        <v>200</v>
      </c>
      <c r="C14" s="6"/>
    </row>
    <row r="15" spans="1:3" ht="15">
      <c r="A15" s="5"/>
      <c r="B15" s="7"/>
      <c r="C15" s="6"/>
    </row>
    <row r="16" spans="1:3" ht="30.75">
      <c r="A16" s="5"/>
      <c r="B16" s="7" t="s">
        <v>201</v>
      </c>
      <c r="C16" s="6"/>
    </row>
    <row r="17" spans="1:3" ht="15">
      <c r="A17" s="5"/>
      <c r="B17" s="7"/>
      <c r="C17" s="6"/>
    </row>
    <row r="18" spans="1:3" ht="15.75">
      <c r="A18" s="5"/>
      <c r="B18" s="8" t="s">
        <v>202</v>
      </c>
      <c r="C18" s="6"/>
    </row>
    <row r="19" spans="1:3" ht="15">
      <c r="A19" s="5"/>
      <c r="B19" s="18" t="s">
        <v>203</v>
      </c>
      <c r="C19" s="6"/>
    </row>
    <row r="20" spans="1:3" ht="15">
      <c r="A20" s="5"/>
      <c r="B20" s="9"/>
      <c r="C20" s="6"/>
    </row>
    <row r="21" spans="1:3">
      <c r="A21" s="5"/>
      <c r="B21" s="5"/>
      <c r="C21" s="6"/>
    </row>
    <row r="22" spans="1:3">
      <c r="A22" s="5"/>
      <c r="B22" s="5"/>
      <c r="C22" s="6"/>
    </row>
    <row r="23" spans="1:3">
      <c r="A23" s="5"/>
      <c r="B23" s="5"/>
      <c r="C23" s="6"/>
    </row>
    <row r="24" spans="1:3">
      <c r="A24" s="5"/>
      <c r="B24" s="5"/>
      <c r="C24" s="6"/>
    </row>
    <row r="25" spans="1:3">
      <c r="A25" s="5"/>
      <c r="B25" s="5"/>
      <c r="C25" s="6"/>
    </row>
    <row r="26" spans="1:3">
      <c r="A26" s="5"/>
      <c r="B26" s="5"/>
      <c r="C26" s="6"/>
    </row>
    <row r="27" spans="1:3">
      <c r="A27" s="5"/>
      <c r="B27" s="5"/>
      <c r="C27" s="6"/>
    </row>
    <row r="28" spans="1:3">
      <c r="A28" s="5"/>
      <c r="B28" s="5"/>
      <c r="C28" s="6"/>
    </row>
    <row r="29" spans="1:3">
      <c r="A29" s="5"/>
      <c r="B29" s="5"/>
      <c r="C29" s="6"/>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2006-2018 Vertex42 LLC. All Rights Reserved.</dc:description>
  <cp:lastModifiedBy/>
  <cp:revision/>
  <dcterms:created xsi:type="dcterms:W3CDTF">2010-06-09T16:05:03Z</dcterms:created>
  <dcterms:modified xsi:type="dcterms:W3CDTF">2025-11-27T16:59:56Z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